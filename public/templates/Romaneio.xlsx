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maneio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<sst xmlns="http://schemas.openxmlformats.org/spreadsheetml/2006/main" count="28" uniqueCount="27">
  <si>
    <t xml:space="preserve">    RUA "A" S/N QUADRA 04 LOTES 29 A 34 </t>
  </si>
  <si>
    <t xml:space="preserve">    DISTRITO INDUSTRIAL DE ESTÂNCIA - SE</t>
  </si>
  <si>
    <t xml:space="preserve">Telefone: 079-3522 1228</t>
  </si>
  <si>
    <t xml:space="preserve">                                       ROMANEIO DE SAIDA DE PRODUTOS - MERCADO INTERNO                                          </t>
  </si>
  <si>
    <t xml:space="preserve">Data : </t>
  </si>
  <si>
    <t xml:space="preserve">Motorista : </t>
  </si>
  <si>
    <t xml:space="preserve">Cliente:</t>
  </si>
  <si>
    <t xml:space="preserve">Transportadora: </t>
  </si>
  <si>
    <t xml:space="preserve">Destino:</t>
  </si>
  <si>
    <t xml:space="preserve">Placa : </t>
  </si>
  <si>
    <t xml:space="preserve">Pedido:</t>
  </si>
  <si>
    <t xml:space="preserve">Entrega:</t>
  </si>
  <si>
    <t xml:space="preserve">Nota Fiscal N°: </t>
  </si>
  <si>
    <t xml:space="preserve">N º pacote</t>
  </si>
  <si>
    <t xml:space="preserve">Pedido</t>
  </si>
  <si>
    <t xml:space="preserve">Jogos</t>
  </si>
  <si>
    <t xml:space="preserve">Qtde</t>
  </si>
  <si>
    <t xml:space="preserve">Compr.</t>
  </si>
  <si>
    <t xml:space="preserve">Largura</t>
  </si>
  <si>
    <t xml:space="preserve">Espessura</t>
  </si>
  <si>
    <t xml:space="preserve">m³</t>
  </si>
  <si>
    <t xml:space="preserve">m³ pallet</t>
  </si>
  <si>
    <t xml:space="preserve">Produto</t>
  </si>
  <si>
    <t xml:space="preserve">Obs:</t>
  </si>
  <si>
    <t xml:space="preserve">Total m³</t>
  </si>
  <si>
    <t xml:space="preserve">Filtro:</t>
  </si>
  <si>
    <t xml:space="preserve">Pag.: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</si>
</sst>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(* #,##0.00_);_(* \(#,##0.00\);_(* \-??_);_(@_)"/>
    <numFmt numFmtId="166" formatCode="_(* #,##0.000_);_(* \(#,##0.000\);_(* \-??_);_(@_)"/>
    <numFmt numFmtId="167" formatCode="[$-409]m/d/yyyy"/>
    <numFmt numFmtId="168" formatCode="0.000"/>
  </numFmts>
  <fonts count="12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b val="true"/>
      <sz val="10"/>
      <name val="Arial"/>
      <family val="0"/>
    </font>
    <font>
      <sz val="10"/>
      <name val="Arial"/>
      <family val="2"/>
    </font>
    <font>
      <sz val="12"/>
      <name val="Arial"/>
      <family val="2"/>
    </font>
    <font>
      <sz val="14"/>
      <name val="Arial"/>
      <family val="2"/>
    </font>
    <font>
      <i val="true"/>
      <sz val="14"/>
      <name val="Arial"/>
      <family val="2"/>
    </font>
    <font>
      <b val="true"/>
      <sz val="11"/>
      <name val="Arial"/>
      <family val="2"/>
    </font>
    <font>
      <b val="true"/>
      <sz val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FFFFFF"/>
        <bgColor rgb="FFFFFFCC"/>
      </patternFill>
    </fill>
  </fills>
  <borders count="24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hair"/>
      <top style="medium"/>
      <bottom/>
      <diagonal/>
    </border>
    <border diagonalUp="false" diagonalDown="false">
      <left style="hair"/>
      <right style="hair"/>
      <top style="medium"/>
      <bottom/>
      <diagonal/>
    </border>
    <border diagonalUp="false" diagonalDown="false">
      <left style="hair"/>
      <right/>
      <top style="medium"/>
      <bottom/>
      <diagonal/>
    </border>
    <border diagonalUp="false" diagonalDown="false">
      <left style="hair"/>
      <right style="medium"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hair"/>
      <top/>
      <bottom style="medium"/>
      <diagonal/>
    </border>
    <border diagonalUp="false" diagonalDown="false">
      <left style="hair"/>
      <right/>
      <top/>
      <bottom style="medium"/>
      <diagonal/>
    </border>
    <border diagonalUp="false" diagonalDown="false">
      <left/>
      <right style="hair"/>
      <top/>
      <bottom style="medium"/>
      <diagonal/>
    </border>
    <border diagonalUp="false" diagonalDown="false">
      <left style="hair"/>
      <right style="hair"/>
      <top/>
      <bottom style="medium"/>
      <diagonal/>
    </border>
    <border diagonalUp="false" diagonalDown="false">
      <left style="hair"/>
      <right style="medium"/>
      <top/>
      <bottom style="medium"/>
      <diagonal/>
    </border>
    <border diagonalUp="false" diagonalDown="false">
      <left style="medium"/>
      <right style="hair"/>
      <top style="medium"/>
      <bottom style="medium"/>
      <diagonal/>
    </border>
    <border diagonalUp="false" diagonalDown="false">
      <left style="hair"/>
      <right style="hair"/>
      <top style="medium"/>
      <bottom style="medium"/>
      <diagonal/>
    </border>
    <border diagonalUp="false" diagonalDown="false">
      <left style="hair"/>
      <right/>
      <top style="medium"/>
      <bottom style="medium"/>
      <diagonal/>
    </border>
    <border diagonalUp="false" diagonalDown="false">
      <left style="hair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4" fillId="0" borderId="1" xfId="1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0" borderId="1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533520</xdr:colOff>
      <xdr:row>1</xdr:row>
      <xdr:rowOff>190800</xdr:rowOff>
    </xdr:from>
    <xdr:to>
      <xdr:col>10</xdr:col>
      <xdr:colOff>1138680</xdr:colOff>
      <xdr:row>3</xdr:row>
      <xdr:rowOff>190440</xdr:rowOff>
    </xdr:to>
    <xdr:pic>
      <xdr:nvPicPr>
        <xdr:cNvPr id="0" name="Imagem 2" descr=""/>
        <xdr:cNvPicPr/>
      </xdr:nvPicPr>
      <xdr:blipFill>
        <a:blip r:embed="rId1"/>
        <a:stretch/>
      </xdr:blipFill>
      <xdr:spPr>
        <a:xfrm>
          <a:off x="14310360" y="447840"/>
          <a:ext cx="605160" cy="40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252000</xdr:colOff>
      <xdr:row>2</xdr:row>
      <xdr:rowOff>181080</xdr:rowOff>
    </xdr:to>
    <xdr:pic>
      <xdr:nvPicPr>
        <xdr:cNvPr id="1" name="Imagem 2" descr=""/>
        <xdr:cNvPicPr/>
      </xdr:nvPicPr>
      <xdr:blipFill>
        <a:blip r:embed="rId2"/>
        <a:stretch/>
      </xdr:blipFill>
      <xdr:spPr>
        <a:xfrm>
          <a:off x="0" y="0"/>
          <a:ext cx="2796480" cy="640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1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546875" defaultRowHeight="12.75" customHeight="true" zeroHeight="false" outlineLevelRow="0" outlineLevelCol="0"/>
  <cols>
    <col collapsed="false" customWidth="true" hidden="false" outlineLevel="0" max="1" min="1" style="0" width="9.7"/>
    <col collapsed="false" customWidth="true" hidden="false" outlineLevel="0" max="3" min="2" style="0" width="8.85"/>
    <col collapsed="false" customWidth="true" hidden="false" outlineLevel="0" max="4" min="4" style="0" width="8.7"/>
    <col collapsed="false" customWidth="true" hidden="false" outlineLevel="0" max="5" min="5" style="0" width="10.56"/>
    <col collapsed="false" customWidth="true" hidden="false" outlineLevel="0" max="9" min="6" style="0" width="10.71"/>
    <col collapsed="false" customWidth="true" hidden="false" outlineLevel="0" max="10" min="10" style="0" width="105.99"/>
    <col collapsed="false" customWidth="true" hidden="false" outlineLevel="0" max="11" min="11" style="1" width="16.28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.9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15.9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15.95" hidden="false" customHeight="true" outlineLevel="0" collapsed="false"/>
    <row r="5" customFormat="false" ht="15.95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</row>
    <row r="6" customFormat="false" ht="15.95" hidden="false" customHeight="true" outlineLevel="0" collapsed="false">
      <c r="G6" s="5"/>
    </row>
    <row r="7" customFormat="false" ht="15.95" hidden="false" customHeight="true" outlineLevel="0" collapsed="false">
      <c r="A7" s="6" t="s">
        <v>4</v>
      </c>
      <c r="B7" s="7"/>
      <c r="C7" s="7"/>
      <c r="D7" s="7"/>
      <c r="E7" s="7"/>
      <c r="H7" s="8" t="s">
        <v>5</v>
      </c>
      <c r="K7" s="9"/>
    </row>
    <row r="8" customFormat="false" ht="15.95" hidden="false" customHeight="true" outlineLevel="0" collapsed="false">
      <c r="A8" s="10" t="s">
        <v>6</v>
      </c>
      <c r="B8" s="11"/>
      <c r="C8" s="11"/>
      <c r="D8" s="11"/>
      <c r="E8" s="11"/>
      <c r="F8" s="11"/>
      <c r="G8" s="11"/>
      <c r="H8" s="8" t="s">
        <v>7</v>
      </c>
      <c r="K8" s="9"/>
    </row>
    <row r="9" customFormat="false" ht="15.95" hidden="false" customHeight="true" outlineLevel="0" collapsed="false">
      <c r="A9" s="12" t="s">
        <v>8</v>
      </c>
      <c r="B9" s="13"/>
      <c r="C9" s="13"/>
      <c r="D9" s="13"/>
      <c r="E9" s="13"/>
      <c r="F9" s="14"/>
      <c r="G9" s="14"/>
      <c r="H9" s="8" t="s">
        <v>9</v>
      </c>
      <c r="K9" s="9"/>
    </row>
    <row r="10" customFormat="false" ht="15.95" hidden="false" customHeight="true" outlineLevel="0" collapsed="false">
      <c r="A10" s="10" t="s">
        <v>10</v>
      </c>
      <c r="B10" s="15"/>
      <c r="C10" s="15"/>
      <c r="D10" s="15"/>
      <c r="E10" s="15"/>
      <c r="F10" s="14"/>
      <c r="G10" s="14"/>
      <c r="K10" s="9"/>
    </row>
    <row r="11" customFormat="false" ht="26.25" hidden="false" customHeight="true" outlineLevel="0" collapsed="false">
      <c r="A11" s="16" t="s">
        <v>11</v>
      </c>
      <c r="B11" s="17"/>
      <c r="C11" s="17"/>
      <c r="D11" s="17"/>
      <c r="E11" s="16"/>
      <c r="G11" s="18" t="s">
        <v>12</v>
      </c>
      <c r="H11" s="18"/>
      <c r="I11" s="18"/>
      <c r="J11" s="18"/>
      <c r="K11" s="9"/>
    </row>
    <row r="12" customFormat="false" ht="15.95" hidden="false" customHeight="true" outlineLevel="0" collapsed="false">
      <c r="A12" s="19" t="s">
        <v>13</v>
      </c>
      <c r="B12" s="20" t="s">
        <v>14</v>
      </c>
      <c r="C12" s="20" t="s">
        <v>15</v>
      </c>
      <c r="D12" s="20" t="s">
        <v>16</v>
      </c>
      <c r="E12" s="20" t="s">
        <v>17</v>
      </c>
      <c r="F12" s="20" t="s">
        <v>18</v>
      </c>
      <c r="G12" s="20" t="s">
        <v>19</v>
      </c>
      <c r="H12" s="20" t="s">
        <v>20</v>
      </c>
      <c r="I12" s="21" t="s">
        <v>21</v>
      </c>
      <c r="J12" s="21" t="s">
        <v>22</v>
      </c>
      <c r="K12" s="22" t="s">
        <v>23</v>
      </c>
    </row>
    <row r="13" customFormat="false" ht="20.1" hidden="false" customHeight="true" outlineLevel="0" collapsed="false">
      <c r="A13" s="23"/>
      <c r="B13" s="24"/>
      <c r="C13" s="25"/>
      <c r="D13" s="26"/>
      <c r="E13" s="26"/>
      <c r="F13" s="26"/>
      <c r="G13" s="26"/>
      <c r="H13" s="27" t="n">
        <f aca="false">G13*F13*E13*D13/1000000000</f>
        <v>0</v>
      </c>
      <c r="I13" s="28"/>
      <c r="J13" s="29"/>
      <c r="K13" s="30"/>
    </row>
    <row r="14" customFormat="false" ht="20.1" hidden="false" customHeight="true" outlineLevel="0" collapsed="false">
      <c r="A14" s="31"/>
      <c r="B14" s="32"/>
      <c r="C14" s="33"/>
      <c r="D14" s="34"/>
      <c r="E14" s="34"/>
      <c r="F14" s="33"/>
      <c r="G14" s="33"/>
      <c r="H14" s="35" t="n">
        <f aca="false">G14*F14*E14*D14/1000000000</f>
        <v>0</v>
      </c>
      <c r="I14" s="35"/>
      <c r="J14" s="36"/>
      <c r="K14" s="37"/>
    </row>
    <row r="15" customFormat="false" ht="20.1" hidden="false" customHeight="true" outlineLevel="0" collapsed="false">
      <c r="A15" s="31"/>
      <c r="B15" s="33"/>
      <c r="C15" s="33"/>
      <c r="D15" s="34"/>
      <c r="E15" s="34"/>
      <c r="F15" s="33"/>
      <c r="G15" s="33"/>
      <c r="H15" s="35" t="n">
        <f aca="false">G15*F15*E15*D15/1000000000</f>
        <v>0</v>
      </c>
      <c r="I15" s="35"/>
      <c r="J15" s="36"/>
      <c r="K15" s="37"/>
    </row>
    <row r="16" customFormat="false" ht="20.1" hidden="false" customHeight="true" outlineLevel="0" collapsed="false">
      <c r="A16" s="31"/>
      <c r="B16" s="32"/>
      <c r="C16" s="38"/>
      <c r="D16" s="34"/>
      <c r="E16" s="34"/>
      <c r="F16" s="33"/>
      <c r="G16" s="33"/>
      <c r="H16" s="35" t="n">
        <f aca="false">G16*F16*E16*D16/1000000000</f>
        <v>0</v>
      </c>
      <c r="I16" s="39"/>
      <c r="J16" s="36"/>
      <c r="K16" s="37"/>
    </row>
    <row r="17" customFormat="false" ht="20.1" hidden="false" customHeight="true" outlineLevel="0" collapsed="false">
      <c r="A17" s="31"/>
      <c r="B17" s="32"/>
      <c r="C17" s="33"/>
      <c r="D17" s="34"/>
      <c r="E17" s="34"/>
      <c r="F17" s="33"/>
      <c r="G17" s="33"/>
      <c r="H17" s="35" t="n">
        <f aca="false">G17*F17*E17*D17/1000000000</f>
        <v>0</v>
      </c>
      <c r="I17" s="35"/>
      <c r="J17" s="40"/>
      <c r="K17" s="37"/>
    </row>
    <row r="18" customFormat="false" ht="20.1" hidden="false" customHeight="true" outlineLevel="0" collapsed="false">
      <c r="A18" s="41"/>
      <c r="B18" s="32"/>
      <c r="C18" s="33"/>
      <c r="D18" s="34"/>
      <c r="E18" s="34"/>
      <c r="F18" s="33"/>
      <c r="G18" s="33"/>
      <c r="H18" s="35" t="n">
        <f aca="false">G18*F18*E18*D18/1000000000</f>
        <v>0</v>
      </c>
      <c r="I18" s="35"/>
      <c r="J18" s="36"/>
      <c r="K18" s="37"/>
    </row>
    <row r="19" customFormat="false" ht="20.1" hidden="false" customHeight="true" outlineLevel="0" collapsed="false">
      <c r="A19" s="31"/>
      <c r="B19" s="32"/>
      <c r="C19" s="33"/>
      <c r="D19" s="34"/>
      <c r="E19" s="34"/>
      <c r="F19" s="33"/>
      <c r="G19" s="33"/>
      <c r="H19" s="35" t="n">
        <f aca="false">G19*F19*E19*D19/1000000000</f>
        <v>0</v>
      </c>
      <c r="I19" s="35"/>
      <c r="J19" s="36"/>
      <c r="K19" s="37"/>
    </row>
    <row r="20" customFormat="false" ht="20.1" hidden="false" customHeight="true" outlineLevel="0" collapsed="false">
      <c r="A20" s="31"/>
      <c r="B20" s="32"/>
      <c r="C20" s="33"/>
      <c r="D20" s="34"/>
      <c r="E20" s="34"/>
      <c r="F20" s="33"/>
      <c r="G20" s="33"/>
      <c r="H20" s="35" t="n">
        <f aca="false">G20*F20*E20*D20/1000000000</f>
        <v>0</v>
      </c>
      <c r="I20" s="35"/>
      <c r="J20" s="36"/>
      <c r="K20" s="37"/>
    </row>
    <row r="21" customFormat="false" ht="20.1" hidden="false" customHeight="true" outlineLevel="0" collapsed="false">
      <c r="A21" s="31"/>
      <c r="B21" s="32"/>
      <c r="C21" s="33"/>
      <c r="D21" s="34"/>
      <c r="E21" s="34"/>
      <c r="F21" s="33"/>
      <c r="G21" s="33"/>
      <c r="H21" s="35" t="n">
        <f aca="false">G21*F21*E21*D21/1000000000</f>
        <v>0</v>
      </c>
      <c r="I21" s="35"/>
      <c r="J21" s="36"/>
      <c r="K21" s="37"/>
    </row>
    <row r="22" customFormat="false" ht="18.75" hidden="false" customHeight="false" outlineLevel="0" collapsed="false">
      <c r="A22" s="31"/>
      <c r="B22" s="32"/>
      <c r="C22" s="33"/>
      <c r="D22" s="34"/>
      <c r="E22" s="34"/>
      <c r="F22" s="33"/>
      <c r="G22" s="33"/>
      <c r="H22" s="35" t="n">
        <f aca="false">G22*F22*E22*D22/1000000000</f>
        <v>0</v>
      </c>
      <c r="I22" s="35"/>
      <c r="J22" s="36"/>
      <c r="K22" s="37"/>
    </row>
    <row r="23" customFormat="false" ht="20.1" hidden="false" customHeight="true" outlineLevel="0" collapsed="false">
      <c r="A23" s="41"/>
      <c r="B23" s="33"/>
      <c r="C23" s="33"/>
      <c r="D23" s="34"/>
      <c r="E23" s="34"/>
      <c r="F23" s="33"/>
      <c r="G23" s="33"/>
      <c r="H23" s="35" t="n">
        <f aca="false">G23*F23*E23*D23/1000000000</f>
        <v>0</v>
      </c>
      <c r="I23" s="35"/>
      <c r="J23" s="40"/>
      <c r="K23" s="37"/>
    </row>
    <row r="24" customFormat="false" ht="20.1" hidden="false" customHeight="true" outlineLevel="0" collapsed="false">
      <c r="A24" s="41"/>
      <c r="B24" s="33"/>
      <c r="C24" s="33"/>
      <c r="D24" s="34"/>
      <c r="E24" s="34"/>
      <c r="F24" s="33"/>
      <c r="G24" s="33"/>
      <c r="H24" s="35" t="n">
        <f aca="false">G24*F24*E24*D24/1000000000</f>
        <v>0</v>
      </c>
      <c r="I24" s="35"/>
      <c r="J24" s="40"/>
      <c r="K24" s="37"/>
    </row>
    <row r="25" customFormat="false" ht="20.1" hidden="false" customHeight="true" outlineLevel="0" collapsed="false">
      <c r="A25" s="41"/>
      <c r="B25" s="33"/>
      <c r="C25" s="33"/>
      <c r="D25" s="34"/>
      <c r="E25" s="34"/>
      <c r="F25" s="33"/>
      <c r="G25" s="33"/>
      <c r="H25" s="35" t="n">
        <f aca="false">G25*F25*E25*D25/1000000000</f>
        <v>0</v>
      </c>
      <c r="I25" s="35"/>
      <c r="J25" s="40"/>
      <c r="K25" s="37"/>
    </row>
    <row r="26" customFormat="false" ht="20.1" hidden="false" customHeight="true" outlineLevel="0" collapsed="false">
      <c r="A26" s="41"/>
      <c r="B26" s="33"/>
      <c r="C26" s="33"/>
      <c r="D26" s="34"/>
      <c r="E26" s="34"/>
      <c r="F26" s="33"/>
      <c r="G26" s="33"/>
      <c r="H26" s="35" t="n">
        <f aca="false">G26*F26*E26*D26/1000000000</f>
        <v>0</v>
      </c>
      <c r="I26" s="35"/>
      <c r="J26" s="40"/>
      <c r="K26" s="37"/>
    </row>
    <row r="27" customFormat="false" ht="20.1" hidden="false" customHeight="true" outlineLevel="0" collapsed="false">
      <c r="A27" s="41"/>
      <c r="B27" s="33"/>
      <c r="C27" s="33"/>
      <c r="D27" s="34"/>
      <c r="E27" s="34"/>
      <c r="F27" s="33"/>
      <c r="G27" s="33"/>
      <c r="H27" s="35" t="n">
        <f aca="false">G27*F27*E27*D27/1000000000</f>
        <v>0</v>
      </c>
      <c r="I27" s="35"/>
      <c r="J27" s="40"/>
      <c r="K27" s="37"/>
    </row>
    <row r="28" customFormat="false" ht="20.1" hidden="false" customHeight="true" outlineLevel="0" collapsed="false">
      <c r="A28" s="41"/>
      <c r="B28" s="33"/>
      <c r="C28" s="33"/>
      <c r="D28" s="34"/>
      <c r="E28" s="34"/>
      <c r="F28" s="33"/>
      <c r="G28" s="33"/>
      <c r="H28" s="35" t="n">
        <f aca="false">G28*F28*E28*D28/1000000000</f>
        <v>0</v>
      </c>
      <c r="I28" s="35"/>
      <c r="J28" s="40"/>
      <c r="K28" s="37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</row>
    <row r="29" customFormat="false" ht="20.1" hidden="false" customHeight="true" outlineLevel="0" collapsed="false">
      <c r="A29" s="41"/>
      <c r="B29" s="33"/>
      <c r="C29" s="33"/>
      <c r="D29" s="34"/>
      <c r="E29" s="34"/>
      <c r="F29" s="33"/>
      <c r="G29" s="33"/>
      <c r="H29" s="35" t="n">
        <f aca="false">G29*F29*E29*D29/1000000000</f>
        <v>0</v>
      </c>
      <c r="I29" s="35"/>
      <c r="J29" s="40"/>
      <c r="K29" s="37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</row>
    <row r="30" customFormat="false" ht="20.1" hidden="false" customHeight="true" outlineLevel="0" collapsed="false">
      <c r="A30" s="41"/>
      <c r="B30" s="33"/>
      <c r="C30" s="33"/>
      <c r="D30" s="34"/>
      <c r="E30" s="34"/>
      <c r="F30" s="33"/>
      <c r="G30" s="33"/>
      <c r="H30" s="35" t="n">
        <f aca="false">G30*F30*E30*D30/1000000000</f>
        <v>0</v>
      </c>
      <c r="I30" s="35"/>
      <c r="J30" s="40"/>
      <c r="K30" s="37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</row>
    <row r="31" customFormat="false" ht="20.1" hidden="false" customHeight="true" outlineLevel="0" collapsed="false">
      <c r="A31" s="41"/>
      <c r="B31" s="33"/>
      <c r="C31" s="33"/>
      <c r="D31" s="34"/>
      <c r="E31" s="34"/>
      <c r="F31" s="33"/>
      <c r="G31" s="33"/>
      <c r="H31" s="35" t="n">
        <f aca="false">G31*F31*E31*D31/1000000000</f>
        <v>0</v>
      </c>
      <c r="I31" s="35"/>
      <c r="J31" s="40"/>
      <c r="K31" s="37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</row>
    <row r="32" customFormat="false" ht="20.1" hidden="false" customHeight="true" outlineLevel="0" collapsed="false">
      <c r="A32" s="41"/>
      <c r="B32" s="33"/>
      <c r="C32" s="33"/>
      <c r="D32" s="34"/>
      <c r="E32" s="34"/>
      <c r="F32" s="33"/>
      <c r="G32" s="33"/>
      <c r="H32" s="35" t="n">
        <f aca="false">G32*F32*E32*D32/1000000000</f>
        <v>0</v>
      </c>
      <c r="I32" s="35"/>
      <c r="J32" s="40"/>
      <c r="K32" s="37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</row>
    <row r="33" customFormat="false" ht="20.1" hidden="false" customHeight="true" outlineLevel="0" collapsed="false">
      <c r="A33" s="41"/>
      <c r="B33" s="33"/>
      <c r="C33" s="33"/>
      <c r="D33" s="34"/>
      <c r="E33" s="34"/>
      <c r="F33" s="33"/>
      <c r="G33" s="33"/>
      <c r="H33" s="35" t="n">
        <f aca="false">G33*F33*E33*D33/1000000000</f>
        <v>0</v>
      </c>
      <c r="I33" s="35"/>
      <c r="J33" s="40"/>
      <c r="K33" s="37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</row>
    <row r="34" customFormat="false" ht="20.1" hidden="false" customHeight="true" outlineLevel="0" collapsed="false">
      <c r="A34" s="41"/>
      <c r="B34" s="33"/>
      <c r="C34" s="33"/>
      <c r="D34" s="34"/>
      <c r="E34" s="34"/>
      <c r="F34" s="33"/>
      <c r="G34" s="33"/>
      <c r="H34" s="35" t="n">
        <f aca="false">G34*F34*E34*D34/1000000000</f>
        <v>0</v>
      </c>
      <c r="I34" s="35"/>
      <c r="J34" s="40"/>
      <c r="K34" s="37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</row>
    <row r="35" customFormat="false" ht="20.1" hidden="false" customHeight="true" outlineLevel="0" collapsed="false">
      <c r="A35" s="41"/>
      <c r="B35" s="33"/>
      <c r="C35" s="33"/>
      <c r="D35" s="34"/>
      <c r="E35" s="34"/>
      <c r="F35" s="33"/>
      <c r="G35" s="33"/>
      <c r="H35" s="35" t="n">
        <f aca="false">G35*F35*E35*D35/1000000000</f>
        <v>0</v>
      </c>
      <c r="I35" s="35"/>
      <c r="J35" s="40"/>
      <c r="K35" s="37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</row>
    <row r="36" customFormat="false" ht="20.1" hidden="false" customHeight="true" outlineLevel="0" collapsed="false">
      <c r="A36" s="41"/>
      <c r="B36" s="33"/>
      <c r="C36" s="33"/>
      <c r="D36" s="34"/>
      <c r="E36" s="34"/>
      <c r="F36" s="33"/>
      <c r="G36" s="33"/>
      <c r="H36" s="35" t="n">
        <f aca="false">G36*F36*E36*D36/1000000000</f>
        <v>0</v>
      </c>
      <c r="I36" s="35"/>
      <c r="J36" s="40"/>
      <c r="K36" s="37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</row>
    <row r="37" customFormat="false" ht="20.1" hidden="false" customHeight="true" outlineLevel="0" collapsed="false">
      <c r="A37" s="41"/>
      <c r="B37" s="33"/>
      <c r="C37" s="33"/>
      <c r="D37" s="34"/>
      <c r="E37" s="34"/>
      <c r="F37" s="33"/>
      <c r="G37" s="33"/>
      <c r="H37" s="35" t="n">
        <f aca="false">G37*F37*E37*D37/1000000000</f>
        <v>0</v>
      </c>
      <c r="I37" s="35"/>
      <c r="J37" s="40"/>
      <c r="K37" s="37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</row>
    <row r="38" customFormat="false" ht="20.1" hidden="false" customHeight="true" outlineLevel="0" collapsed="false">
      <c r="A38" s="41"/>
      <c r="B38" s="33"/>
      <c r="C38" s="33"/>
      <c r="D38" s="34"/>
      <c r="E38" s="34"/>
      <c r="F38" s="33"/>
      <c r="G38" s="33"/>
      <c r="H38" s="35" t="n">
        <f aca="false">G38*F38*E38*D38/1000000000</f>
        <v>0</v>
      </c>
      <c r="I38" s="35"/>
      <c r="J38" s="40"/>
      <c r="K38" s="37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</row>
    <row r="39" customFormat="false" ht="20.1" hidden="false" customHeight="true" outlineLevel="0" collapsed="false">
      <c r="A39" s="41"/>
      <c r="B39" s="33"/>
      <c r="C39" s="33"/>
      <c r="D39" s="34"/>
      <c r="E39" s="34"/>
      <c r="F39" s="33"/>
      <c r="G39" s="33"/>
      <c r="H39" s="35" t="n">
        <f aca="false">G39*F39*E39*D39/1000000000</f>
        <v>0</v>
      </c>
      <c r="I39" s="35"/>
      <c r="J39" s="40"/>
      <c r="K39" s="37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</row>
    <row r="40" customFormat="false" ht="20.1" hidden="false" customHeight="true" outlineLevel="0" collapsed="false">
      <c r="A40" s="41"/>
      <c r="B40" s="33"/>
      <c r="C40" s="33"/>
      <c r="D40" s="34"/>
      <c r="E40" s="34"/>
      <c r="F40" s="33"/>
      <c r="G40" s="33"/>
      <c r="H40" s="35" t="n">
        <f aca="false">G40*F40*E40*D40/1000000000</f>
        <v>0</v>
      </c>
      <c r="I40" s="35"/>
      <c r="J40" s="40"/>
      <c r="K40" s="37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</row>
    <row r="41" customFormat="false" ht="20.1" hidden="false" customHeight="true" outlineLevel="0" collapsed="false">
      <c r="A41" s="41"/>
      <c r="B41" s="33"/>
      <c r="C41" s="33"/>
      <c r="D41" s="34"/>
      <c r="E41" s="34"/>
      <c r="F41" s="33"/>
      <c r="G41" s="33"/>
      <c r="H41" s="35" t="n">
        <f aca="false">G41*F41*E41*D41/1000000000</f>
        <v>0</v>
      </c>
      <c r="I41" s="35"/>
      <c r="J41" s="40"/>
      <c r="K41" s="37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</row>
    <row r="42" customFormat="false" ht="20.1" hidden="false" customHeight="true" outlineLevel="0" collapsed="false">
      <c r="A42" s="41"/>
      <c r="B42" s="33"/>
      <c r="C42" s="33"/>
      <c r="D42" s="34"/>
      <c r="E42" s="34"/>
      <c r="F42" s="33"/>
      <c r="G42" s="33"/>
      <c r="H42" s="35" t="n">
        <f aca="false">G42*F42*E42*D42/1000000000</f>
        <v>0</v>
      </c>
      <c r="I42" s="35"/>
      <c r="J42" s="40"/>
      <c r="K42" s="37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</row>
    <row r="43" customFormat="false" ht="20.1" hidden="false" customHeight="true" outlineLevel="0" collapsed="false">
      <c r="A43" s="41"/>
      <c r="B43" s="33"/>
      <c r="C43" s="33"/>
      <c r="D43" s="34"/>
      <c r="E43" s="34"/>
      <c r="F43" s="33"/>
      <c r="G43" s="33"/>
      <c r="H43" s="35" t="n">
        <f aca="false">G43*F43*E43*D43/1000000000</f>
        <v>0</v>
      </c>
      <c r="I43" s="35"/>
      <c r="J43" s="40"/>
      <c r="K43" s="37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</row>
    <row r="44" customFormat="false" ht="20.1" hidden="false" customHeight="true" outlineLevel="0" collapsed="false">
      <c r="A44" s="41"/>
      <c r="B44" s="33"/>
      <c r="C44" s="33"/>
      <c r="D44" s="34"/>
      <c r="E44" s="34"/>
      <c r="F44" s="33"/>
      <c r="G44" s="33"/>
      <c r="H44" s="35" t="n">
        <f aca="false">G44*F44*E44*D44/1000000000</f>
        <v>0</v>
      </c>
      <c r="I44" s="35"/>
      <c r="J44" s="40"/>
      <c r="K44" s="37"/>
    </row>
    <row r="45" customFormat="false" ht="20.1" hidden="false" customHeight="true" outlineLevel="0" collapsed="false">
      <c r="A45" s="41"/>
      <c r="B45" s="33"/>
      <c r="C45" s="33"/>
      <c r="D45" s="34"/>
      <c r="E45" s="33"/>
      <c r="F45" s="33"/>
      <c r="G45" s="33"/>
      <c r="H45" s="35" t="n">
        <f aca="false">G45*F45*E45*D45/1000000000</f>
        <v>0</v>
      </c>
      <c r="I45" s="35"/>
      <c r="J45" s="40"/>
      <c r="K45" s="37"/>
    </row>
    <row r="46" customFormat="false" ht="20.1" hidden="false" customHeight="true" outlineLevel="0" collapsed="false">
      <c r="A46" s="41"/>
      <c r="B46" s="33"/>
      <c r="C46" s="33"/>
      <c r="D46" s="34"/>
      <c r="E46" s="34"/>
      <c r="F46" s="33"/>
      <c r="G46" s="33"/>
      <c r="H46" s="35" t="n">
        <f aca="false">G46*F46*E46*D46/1000000000</f>
        <v>0</v>
      </c>
      <c r="I46" s="35"/>
      <c r="J46" s="40"/>
      <c r="K46" s="37"/>
    </row>
    <row r="47" customFormat="false" ht="20.1" hidden="false" customHeight="true" outlineLevel="0" collapsed="false">
      <c r="A47" s="41"/>
      <c r="B47" s="33"/>
      <c r="C47" s="33"/>
      <c r="D47" s="34"/>
      <c r="E47" s="33"/>
      <c r="F47" s="33"/>
      <c r="G47" s="33"/>
      <c r="H47" s="35" t="n">
        <f aca="false">G47*F47*E47*D47/1000000000</f>
        <v>0</v>
      </c>
      <c r="I47" s="35"/>
      <c r="J47" s="40"/>
      <c r="K47" s="37"/>
    </row>
    <row r="48" customFormat="false" ht="20.1" hidden="false" customHeight="true" outlineLevel="0" collapsed="false">
      <c r="A48" s="41"/>
      <c r="B48" s="33"/>
      <c r="C48" s="33"/>
      <c r="D48" s="34"/>
      <c r="E48" s="34"/>
      <c r="F48" s="33"/>
      <c r="G48" s="33"/>
      <c r="H48" s="35" t="n">
        <f aca="false">G48*F48*E48*D48/1000000000</f>
        <v>0</v>
      </c>
      <c r="I48" s="35"/>
      <c r="J48" s="40"/>
      <c r="K48" s="37"/>
    </row>
    <row r="49" customFormat="false" ht="20.1" hidden="false" customHeight="true" outlineLevel="0" collapsed="false">
      <c r="A49" s="41"/>
      <c r="B49" s="33"/>
      <c r="C49" s="33"/>
      <c r="D49" s="34"/>
      <c r="E49" s="33"/>
      <c r="F49" s="34"/>
      <c r="G49" s="33"/>
      <c r="H49" s="35" t="n">
        <f aca="false">G49*F49*E49*D49/1000000000</f>
        <v>0</v>
      </c>
      <c r="I49" s="35"/>
      <c r="J49" s="40"/>
      <c r="K49" s="37"/>
    </row>
    <row r="50" customFormat="false" ht="20.1" hidden="false" customHeight="true" outlineLevel="0" collapsed="false">
      <c r="A50" s="41"/>
      <c r="B50" s="33"/>
      <c r="C50" s="33"/>
      <c r="D50" s="34"/>
      <c r="E50" s="34"/>
      <c r="F50" s="34"/>
      <c r="G50" s="33"/>
      <c r="H50" s="35" t="n">
        <f aca="false">G50*F50*E50*D50/1000000000</f>
        <v>0</v>
      </c>
      <c r="I50" s="35"/>
      <c r="J50" s="40"/>
      <c r="K50" s="37"/>
    </row>
    <row r="51" customFormat="false" ht="20.1" hidden="false" customHeight="true" outlineLevel="0" collapsed="false">
      <c r="A51" s="41"/>
      <c r="B51" s="33"/>
      <c r="C51" s="33"/>
      <c r="D51" s="34"/>
      <c r="E51" s="34"/>
      <c r="F51" s="34"/>
      <c r="G51" s="33"/>
      <c r="H51" s="43" t="n">
        <f aca="false">G51*F51*E51*D51/1000000000</f>
        <v>0</v>
      </c>
      <c r="I51" s="43"/>
      <c r="J51" s="40"/>
      <c r="K51" s="44"/>
    </row>
    <row r="52" customFormat="false" ht="20.1" hidden="false" customHeight="true" outlineLevel="0" collapsed="false">
      <c r="A52" s="41"/>
      <c r="B52" s="33"/>
      <c r="C52" s="33"/>
      <c r="D52" s="34"/>
      <c r="E52" s="34"/>
      <c r="F52" s="34"/>
      <c r="G52" s="33"/>
      <c r="H52" s="43" t="n">
        <f aca="false">G52*F52*E52*D52/1000000000</f>
        <v>0</v>
      </c>
      <c r="I52" s="43"/>
      <c r="J52" s="40"/>
      <c r="K52" s="44"/>
    </row>
    <row r="53" customFormat="false" ht="20.1" hidden="false" customHeight="true" outlineLevel="0" collapsed="false">
      <c r="A53" s="41"/>
      <c r="B53" s="33"/>
      <c r="C53" s="33"/>
      <c r="D53" s="34"/>
      <c r="E53" s="34"/>
      <c r="F53" s="34"/>
      <c r="G53" s="33"/>
      <c r="H53" s="43" t="n">
        <f aca="false">G53*F53*E53*D53/1000000000</f>
        <v>0</v>
      </c>
      <c r="I53" s="43"/>
      <c r="J53" s="40"/>
      <c r="K53" s="44"/>
    </row>
    <row r="54" customFormat="false" ht="20.1" hidden="false" customHeight="true" outlineLevel="0" collapsed="false">
      <c r="A54" s="41"/>
      <c r="B54" s="33"/>
      <c r="C54" s="33"/>
      <c r="D54" s="34"/>
      <c r="E54" s="34"/>
      <c r="F54" s="34"/>
      <c r="G54" s="33"/>
      <c r="H54" s="43" t="n">
        <f aca="false">G54*F54*E54*D54/1000000000</f>
        <v>0</v>
      </c>
      <c r="I54" s="43"/>
      <c r="J54" s="40"/>
      <c r="K54" s="44"/>
    </row>
    <row r="55" customFormat="false" ht="20.1" hidden="false" customHeight="true" outlineLevel="0" collapsed="false">
      <c r="A55" s="41"/>
      <c r="B55" s="33"/>
      <c r="C55" s="33"/>
      <c r="D55" s="34"/>
      <c r="E55" s="34"/>
      <c r="F55" s="34"/>
      <c r="G55" s="33"/>
      <c r="H55" s="43" t="n">
        <f aca="false">G55*F55*E55*D55/1000000000</f>
        <v>0</v>
      </c>
      <c r="I55" s="43"/>
      <c r="J55" s="45"/>
      <c r="K55" s="44"/>
    </row>
    <row r="56" customFormat="false" ht="20.1" hidden="false" customHeight="true" outlineLevel="0" collapsed="false">
      <c r="A56" s="41"/>
      <c r="B56" s="33"/>
      <c r="C56" s="33"/>
      <c r="D56" s="34"/>
      <c r="E56" s="34"/>
      <c r="F56" s="34"/>
      <c r="G56" s="33"/>
      <c r="H56" s="43" t="n">
        <f aca="false">G56*F56*E56*D56/1000000000</f>
        <v>0</v>
      </c>
      <c r="I56" s="43"/>
      <c r="J56" s="45"/>
      <c r="K56" s="44"/>
    </row>
    <row r="57" customFormat="false" ht="20.1" hidden="false" customHeight="true" outlineLevel="0" collapsed="false">
      <c r="A57" s="41"/>
      <c r="B57" s="33"/>
      <c r="C57" s="33"/>
      <c r="D57" s="34"/>
      <c r="E57" s="34"/>
      <c r="F57" s="34"/>
      <c r="G57" s="33"/>
      <c r="H57" s="43" t="n">
        <f aca="false">G57*F57*E57*D57/1000000000</f>
        <v>0</v>
      </c>
      <c r="I57" s="43"/>
      <c r="J57" s="45"/>
      <c r="K57" s="44"/>
    </row>
    <row r="58" customFormat="false" ht="20.1" hidden="false" customHeight="true" outlineLevel="0" collapsed="false">
      <c r="A58" s="41"/>
      <c r="B58" s="33"/>
      <c r="C58" s="33"/>
      <c r="D58" s="34"/>
      <c r="E58" s="34"/>
      <c r="F58" s="34"/>
      <c r="G58" s="33"/>
      <c r="H58" s="43" t="n">
        <f aca="false">G58*F58*E58*D58/1000000000</f>
        <v>0</v>
      </c>
      <c r="I58" s="43"/>
      <c r="J58" s="45"/>
      <c r="K58" s="44"/>
    </row>
    <row r="59" customFormat="false" ht="20.1" hidden="false" customHeight="true" outlineLevel="0" collapsed="false">
      <c r="A59" s="41"/>
      <c r="B59" s="33"/>
      <c r="C59" s="33"/>
      <c r="D59" s="34"/>
      <c r="E59" s="34"/>
      <c r="F59" s="34"/>
      <c r="G59" s="34"/>
      <c r="H59" s="43" t="n">
        <f aca="false">G59*F59*E59*D59/1000000000</f>
        <v>0</v>
      </c>
      <c r="I59" s="43"/>
      <c r="J59" s="45"/>
      <c r="K59" s="44"/>
    </row>
    <row r="60" customFormat="false" ht="20.1" hidden="false" customHeight="true" outlineLevel="0" collapsed="false">
      <c r="A60" s="41"/>
      <c r="B60" s="33"/>
      <c r="C60" s="33"/>
      <c r="D60" s="34"/>
      <c r="E60" s="34"/>
      <c r="F60" s="34"/>
      <c r="G60" s="34"/>
      <c r="H60" s="43" t="n">
        <f aca="false">G60*F60*E60*D60/1000000000</f>
        <v>0</v>
      </c>
      <c r="I60" s="43"/>
      <c r="J60" s="45"/>
      <c r="K60" s="44"/>
    </row>
    <row r="61" customFormat="false" ht="20.1" hidden="false" customHeight="true" outlineLevel="0" collapsed="false">
      <c r="A61" s="41"/>
      <c r="B61" s="33"/>
      <c r="C61" s="33"/>
      <c r="D61" s="34"/>
      <c r="E61" s="34"/>
      <c r="F61" s="34"/>
      <c r="G61" s="34"/>
      <c r="H61" s="43" t="n">
        <f aca="false">G61*F61*E61*D61/1000000000</f>
        <v>0</v>
      </c>
      <c r="I61" s="43"/>
      <c r="J61" s="45"/>
      <c r="K61" s="46"/>
    </row>
    <row r="62" customFormat="false" ht="20.1" hidden="false" customHeight="true" outlineLevel="0" collapsed="false">
      <c r="A62" s="41"/>
      <c r="B62" s="33"/>
      <c r="C62" s="33"/>
      <c r="D62" s="34"/>
      <c r="E62" s="34"/>
      <c r="F62" s="34"/>
      <c r="G62" s="34"/>
      <c r="H62" s="43" t="n">
        <f aca="false">G62*F62*E62*D62/1000000000</f>
        <v>0</v>
      </c>
      <c r="I62" s="43"/>
      <c r="J62" s="45"/>
      <c r="K62" s="46"/>
    </row>
    <row r="63" customFormat="false" ht="20.1" hidden="false" customHeight="true" outlineLevel="0" collapsed="false">
      <c r="A63" s="41"/>
      <c r="B63" s="33"/>
      <c r="C63" s="33"/>
      <c r="D63" s="34"/>
      <c r="E63" s="34"/>
      <c r="F63" s="34"/>
      <c r="G63" s="34"/>
      <c r="H63" s="43" t="n">
        <f aca="false">G63*F63*E63*D63/1000000000</f>
        <v>0</v>
      </c>
      <c r="I63" s="43"/>
      <c r="J63" s="45"/>
      <c r="K63" s="46"/>
    </row>
    <row r="64" customFormat="false" ht="20.1" hidden="false" customHeight="true" outlineLevel="0" collapsed="false">
      <c r="A64" s="41"/>
      <c r="B64" s="33"/>
      <c r="C64" s="33"/>
      <c r="D64" s="34"/>
      <c r="E64" s="34"/>
      <c r="F64" s="34"/>
      <c r="G64" s="34"/>
      <c r="H64" s="43" t="n">
        <f aca="false">G64*F64*E64*D64/1000000000</f>
        <v>0</v>
      </c>
      <c r="I64" s="43"/>
      <c r="J64" s="45"/>
      <c r="K64" s="46"/>
    </row>
    <row r="65" customFormat="false" ht="20.1" hidden="false" customHeight="true" outlineLevel="0" collapsed="false">
      <c r="A65" s="41"/>
      <c r="B65" s="33"/>
      <c r="C65" s="33"/>
      <c r="D65" s="34"/>
      <c r="E65" s="34"/>
      <c r="F65" s="34"/>
      <c r="G65" s="34"/>
      <c r="H65" s="43" t="n">
        <f aca="false">G65*F65*E65*D65/1000000000</f>
        <v>0</v>
      </c>
      <c r="I65" s="43"/>
      <c r="J65" s="45"/>
      <c r="K65" s="44"/>
    </row>
    <row r="66" customFormat="false" ht="20.1" hidden="false" customHeight="true" outlineLevel="0" collapsed="false">
      <c r="A66" s="41"/>
      <c r="B66" s="33"/>
      <c r="C66" s="33"/>
      <c r="D66" s="34"/>
      <c r="E66" s="34"/>
      <c r="F66" s="34"/>
      <c r="G66" s="34"/>
      <c r="H66" s="43" t="n">
        <f aca="false">G66*F66*E66*D66/1000000000</f>
        <v>0</v>
      </c>
      <c r="I66" s="43"/>
      <c r="J66" s="45"/>
      <c r="K66" s="44"/>
    </row>
    <row r="67" customFormat="false" ht="20.1" hidden="false" customHeight="true" outlineLevel="0" collapsed="false">
      <c r="A67" s="41"/>
      <c r="B67" s="33"/>
      <c r="C67" s="33"/>
      <c r="D67" s="34"/>
      <c r="E67" s="34"/>
      <c r="F67" s="34"/>
      <c r="G67" s="34"/>
      <c r="H67" s="43" t="n">
        <f aca="false">G67*F67*E67*D67/1000000000</f>
        <v>0</v>
      </c>
      <c r="I67" s="43"/>
      <c r="J67" s="45"/>
      <c r="K67" s="44"/>
    </row>
    <row r="68" customFormat="false" ht="20.1" hidden="false" customHeight="true" outlineLevel="0" collapsed="false">
      <c r="A68" s="41"/>
      <c r="B68" s="33"/>
      <c r="C68" s="33"/>
      <c r="D68" s="34"/>
      <c r="E68" s="34"/>
      <c r="F68" s="34"/>
      <c r="G68" s="34"/>
      <c r="H68" s="43" t="n">
        <f aca="false">G68*F68*E68*D68/1000000000</f>
        <v>0</v>
      </c>
      <c r="I68" s="43"/>
      <c r="J68" s="45"/>
      <c r="K68" s="44"/>
    </row>
    <row r="69" customFormat="false" ht="20.1" hidden="false" customHeight="true" outlineLevel="0" collapsed="false">
      <c r="A69" s="41"/>
      <c r="B69" s="33"/>
      <c r="C69" s="33"/>
      <c r="D69" s="34"/>
      <c r="E69" s="34"/>
      <c r="F69" s="34"/>
      <c r="G69" s="34"/>
      <c r="H69" s="43" t="n">
        <f aca="false">G69*F69*E69*D69/1000000000</f>
        <v>0</v>
      </c>
      <c r="I69" s="43"/>
      <c r="J69" s="45"/>
      <c r="K69" s="44"/>
    </row>
    <row r="70" customFormat="false" ht="20.1" hidden="false" customHeight="true" outlineLevel="0" collapsed="false">
      <c r="A70" s="41"/>
      <c r="B70" s="33"/>
      <c r="C70" s="33"/>
      <c r="D70" s="34"/>
      <c r="E70" s="34"/>
      <c r="F70" s="34"/>
      <c r="G70" s="34"/>
      <c r="H70" s="43" t="n">
        <f aca="false">G70*F70*E70*D70/1000000000</f>
        <v>0</v>
      </c>
      <c r="I70" s="43"/>
      <c r="J70" s="45"/>
      <c r="K70" s="44"/>
    </row>
    <row r="71" customFormat="false" ht="20.1" hidden="false" customHeight="true" outlineLevel="0" collapsed="false">
      <c r="A71" s="41"/>
      <c r="B71" s="33"/>
      <c r="C71" s="33"/>
      <c r="D71" s="34"/>
      <c r="E71" s="34"/>
      <c r="F71" s="34"/>
      <c r="G71" s="34"/>
      <c r="H71" s="43" t="n">
        <f aca="false">G71*F71*E71*D71/1000000000</f>
        <v>0</v>
      </c>
      <c r="I71" s="43"/>
      <c r="J71" s="45"/>
      <c r="K71" s="44"/>
    </row>
    <row r="72" customFormat="false" ht="20.1" hidden="false" customHeight="true" outlineLevel="0" collapsed="false">
      <c r="A72" s="41"/>
      <c r="B72" s="33"/>
      <c r="C72" s="33"/>
      <c r="D72" s="34"/>
      <c r="E72" s="34"/>
      <c r="F72" s="34"/>
      <c r="G72" s="34"/>
      <c r="H72" s="43" t="n">
        <f aca="false">G72*F72*E72*D72/1000000000</f>
        <v>0</v>
      </c>
      <c r="I72" s="43"/>
      <c r="J72" s="45"/>
      <c r="K72" s="44"/>
    </row>
    <row r="73" customFormat="false" ht="20.1" hidden="false" customHeight="true" outlineLevel="0" collapsed="false">
      <c r="A73" s="41"/>
      <c r="B73" s="33"/>
      <c r="C73" s="33"/>
      <c r="D73" s="34"/>
      <c r="E73" s="34"/>
      <c r="F73" s="34"/>
      <c r="G73" s="34"/>
      <c r="H73" s="43" t="n">
        <f aca="false">G73*F73*E73*D73/1000000000</f>
        <v>0</v>
      </c>
      <c r="I73" s="43"/>
      <c r="J73" s="45"/>
      <c r="K73" s="44"/>
    </row>
    <row r="74" customFormat="false" ht="20.1" hidden="false" customHeight="true" outlineLevel="0" collapsed="false">
      <c r="A74" s="41"/>
      <c r="B74" s="33"/>
      <c r="C74" s="33"/>
      <c r="D74" s="34"/>
      <c r="E74" s="34"/>
      <c r="F74" s="34"/>
      <c r="G74" s="34"/>
      <c r="H74" s="43" t="n">
        <f aca="false">G74*F74*E74*D74/1000000000</f>
        <v>0</v>
      </c>
      <c r="I74" s="43"/>
      <c r="J74" s="45"/>
      <c r="K74" s="44"/>
    </row>
    <row r="75" customFormat="false" ht="20.1" hidden="false" customHeight="true" outlineLevel="0" collapsed="false">
      <c r="A75" s="41"/>
      <c r="B75" s="33"/>
      <c r="C75" s="33"/>
      <c r="D75" s="34"/>
      <c r="E75" s="34"/>
      <c r="F75" s="34"/>
      <c r="G75" s="34"/>
      <c r="H75" s="43" t="n">
        <f aca="false">G75*F75*E75*D75/1000000000</f>
        <v>0</v>
      </c>
      <c r="I75" s="43"/>
      <c r="J75" s="45"/>
      <c r="K75" s="44"/>
    </row>
    <row r="76" customFormat="false" ht="20.1" hidden="false" customHeight="true" outlineLevel="0" collapsed="false">
      <c r="A76" s="41"/>
      <c r="B76" s="33"/>
      <c r="C76" s="33"/>
      <c r="D76" s="34"/>
      <c r="E76" s="34"/>
      <c r="F76" s="34"/>
      <c r="G76" s="34"/>
      <c r="H76" s="43" t="n">
        <f aca="false">G76*F76*E76*D76/1000000000</f>
        <v>0</v>
      </c>
      <c r="I76" s="43"/>
      <c r="J76" s="45"/>
      <c r="K76" s="44"/>
    </row>
    <row r="77" customFormat="false" ht="20.1" hidden="false" customHeight="true" outlineLevel="0" collapsed="false">
      <c r="A77" s="41"/>
      <c r="B77" s="33"/>
      <c r="C77" s="33"/>
      <c r="D77" s="34"/>
      <c r="E77" s="34"/>
      <c r="F77" s="34"/>
      <c r="G77" s="34"/>
      <c r="H77" s="43" t="n">
        <f aca="false">G77*F77*E77*D77/1000000000</f>
        <v>0</v>
      </c>
      <c r="I77" s="43"/>
      <c r="J77" s="45"/>
      <c r="K77" s="44"/>
    </row>
    <row r="78" customFormat="false" ht="20.1" hidden="false" customHeight="true" outlineLevel="0" collapsed="false">
      <c r="A78" s="41"/>
      <c r="B78" s="33"/>
      <c r="C78" s="33"/>
      <c r="D78" s="34"/>
      <c r="E78" s="34"/>
      <c r="F78" s="34"/>
      <c r="G78" s="34"/>
      <c r="H78" s="43" t="n">
        <f aca="false">G78*F78*E78*D78/1000000000</f>
        <v>0</v>
      </c>
      <c r="I78" s="43"/>
      <c r="J78" s="45"/>
      <c r="K78" s="44"/>
    </row>
    <row r="79" customFormat="false" ht="20.1" hidden="false" customHeight="true" outlineLevel="0" collapsed="false">
      <c r="A79" s="41"/>
      <c r="B79" s="33"/>
      <c r="C79" s="33"/>
      <c r="D79" s="34"/>
      <c r="E79" s="34"/>
      <c r="F79" s="34"/>
      <c r="G79" s="34"/>
      <c r="H79" s="43" t="n">
        <f aca="false">G79*F79*E79*D79/1000000000</f>
        <v>0</v>
      </c>
      <c r="I79" s="43"/>
      <c r="J79" s="45"/>
      <c r="K79" s="44"/>
    </row>
    <row r="80" customFormat="false" ht="20.1" hidden="false" customHeight="true" outlineLevel="0" collapsed="false">
      <c r="A80" s="41"/>
      <c r="B80" s="33"/>
      <c r="C80" s="33"/>
      <c r="D80" s="34"/>
      <c r="E80" s="34"/>
      <c r="F80" s="34"/>
      <c r="G80" s="34"/>
      <c r="H80" s="43" t="n">
        <f aca="false">G80*F80*E80*D80/1000000000</f>
        <v>0</v>
      </c>
      <c r="I80" s="43"/>
      <c r="J80" s="45"/>
      <c r="K80" s="44"/>
    </row>
    <row r="81" customFormat="false" ht="20.1" hidden="false" customHeight="true" outlineLevel="0" collapsed="false">
      <c r="A81" s="41"/>
      <c r="B81" s="33"/>
      <c r="C81" s="33"/>
      <c r="D81" s="34"/>
      <c r="E81" s="34"/>
      <c r="F81" s="34"/>
      <c r="G81" s="34"/>
      <c r="H81" s="43" t="n">
        <f aca="false">G81*F81*E81*D81/1000000000</f>
        <v>0</v>
      </c>
      <c r="I81" s="43"/>
      <c r="J81" s="45"/>
      <c r="K81" s="44"/>
    </row>
    <row r="82" customFormat="false" ht="20.1" hidden="false" customHeight="true" outlineLevel="0" collapsed="false">
      <c r="A82" s="41"/>
      <c r="B82" s="33"/>
      <c r="C82" s="33"/>
      <c r="D82" s="34"/>
      <c r="E82" s="34"/>
      <c r="F82" s="34"/>
      <c r="G82" s="34"/>
      <c r="H82" s="43" t="n">
        <f aca="false">G82*F82*E82*D82/1000000000</f>
        <v>0</v>
      </c>
      <c r="I82" s="43"/>
      <c r="J82" s="45"/>
      <c r="K82" s="44"/>
    </row>
    <row r="83" customFormat="false" ht="20.1" hidden="false" customHeight="true" outlineLevel="0" collapsed="false">
      <c r="A83" s="41"/>
      <c r="B83" s="33"/>
      <c r="C83" s="33"/>
      <c r="D83" s="34"/>
      <c r="E83" s="34"/>
      <c r="F83" s="34"/>
      <c r="G83" s="34"/>
      <c r="H83" s="43" t="n">
        <f aca="false">G83*F83*E83*D83/1000000000</f>
        <v>0</v>
      </c>
      <c r="I83" s="43"/>
      <c r="J83" s="45"/>
      <c r="K83" s="44"/>
    </row>
    <row r="84" customFormat="false" ht="20.1" hidden="false" customHeight="true" outlineLevel="0" collapsed="false">
      <c r="A84" s="41"/>
      <c r="B84" s="33"/>
      <c r="C84" s="33"/>
      <c r="D84" s="34"/>
      <c r="E84" s="34"/>
      <c r="F84" s="34"/>
      <c r="G84" s="34"/>
      <c r="H84" s="43" t="n">
        <f aca="false">G84*F84*E84*D84/1000000000</f>
        <v>0</v>
      </c>
      <c r="I84" s="43"/>
      <c r="J84" s="45"/>
      <c r="K84" s="44"/>
    </row>
    <row r="85" customFormat="false" ht="20.1" hidden="false" customHeight="true" outlineLevel="0" collapsed="false">
      <c r="A85" s="41"/>
      <c r="B85" s="33"/>
      <c r="C85" s="33"/>
      <c r="D85" s="34"/>
      <c r="E85" s="34"/>
      <c r="F85" s="34"/>
      <c r="G85" s="34"/>
      <c r="H85" s="43" t="n">
        <f aca="false">G85*F85*E85*D85/1000000000</f>
        <v>0</v>
      </c>
      <c r="I85" s="43"/>
      <c r="J85" s="45"/>
      <c r="K85" s="44"/>
    </row>
    <row r="86" customFormat="false" ht="20.1" hidden="false" customHeight="true" outlineLevel="0" collapsed="false">
      <c r="A86" s="41"/>
      <c r="B86" s="33"/>
      <c r="C86" s="33"/>
      <c r="D86" s="34"/>
      <c r="E86" s="34"/>
      <c r="F86" s="34"/>
      <c r="G86" s="34"/>
      <c r="H86" s="43" t="n">
        <f aca="false">G86*F86*E86*D86/1000000000</f>
        <v>0</v>
      </c>
      <c r="I86" s="43"/>
      <c r="J86" s="45"/>
      <c r="K86" s="44"/>
    </row>
    <row r="87" customFormat="false" ht="20.1" hidden="false" customHeight="true" outlineLevel="0" collapsed="false">
      <c r="A87" s="41"/>
      <c r="B87" s="33"/>
      <c r="C87" s="33"/>
      <c r="D87" s="34"/>
      <c r="E87" s="34"/>
      <c r="F87" s="34"/>
      <c r="G87" s="34"/>
      <c r="H87" s="43" t="n">
        <f aca="false">G87*F87*E87*D87/1000000000</f>
        <v>0</v>
      </c>
      <c r="I87" s="43"/>
      <c r="J87" s="45"/>
      <c r="K87" s="44"/>
    </row>
    <row r="88" customFormat="false" ht="20.1" hidden="false" customHeight="true" outlineLevel="0" collapsed="false">
      <c r="A88" s="41"/>
      <c r="B88" s="33"/>
      <c r="C88" s="33"/>
      <c r="D88" s="34"/>
      <c r="E88" s="34"/>
      <c r="F88" s="34"/>
      <c r="G88" s="34"/>
      <c r="H88" s="43" t="n">
        <f aca="false">G88*F88*E88*D88/1000000000</f>
        <v>0</v>
      </c>
      <c r="I88" s="43"/>
      <c r="J88" s="45"/>
      <c r="K88" s="44"/>
    </row>
    <row r="89" customFormat="false" ht="20.1" hidden="false" customHeight="true" outlineLevel="0" collapsed="false">
      <c r="A89" s="41"/>
      <c r="B89" s="33"/>
      <c r="C89" s="33"/>
      <c r="D89" s="34"/>
      <c r="E89" s="34"/>
      <c r="F89" s="34"/>
      <c r="G89" s="34"/>
      <c r="H89" s="43" t="n">
        <f aca="false">G89*F89*E89*D89/1000000000</f>
        <v>0</v>
      </c>
      <c r="I89" s="43"/>
      <c r="J89" s="45"/>
      <c r="K89" s="44"/>
    </row>
    <row r="90" customFormat="false" ht="20.1" hidden="false" customHeight="true" outlineLevel="0" collapsed="false">
      <c r="A90" s="41"/>
      <c r="B90" s="33"/>
      <c r="C90" s="33"/>
      <c r="D90" s="34"/>
      <c r="E90" s="34"/>
      <c r="F90" s="34"/>
      <c r="G90" s="34"/>
      <c r="H90" s="43" t="n">
        <f aca="false">G90*F90*E90*D90/1000000000</f>
        <v>0</v>
      </c>
      <c r="I90" s="43"/>
      <c r="J90" s="45"/>
      <c r="K90" s="44"/>
    </row>
    <row r="91" customFormat="false" ht="20.1" hidden="false" customHeight="true" outlineLevel="0" collapsed="false">
      <c r="A91" s="47"/>
      <c r="B91" s="34"/>
      <c r="C91" s="34"/>
      <c r="D91" s="34"/>
      <c r="E91" s="34"/>
      <c r="F91" s="34"/>
      <c r="G91" s="34"/>
      <c r="H91" s="43" t="n">
        <f aca="false">G91*F91*E91*D91/1000000000</f>
        <v>0</v>
      </c>
      <c r="I91" s="43"/>
      <c r="J91" s="45"/>
      <c r="K91" s="44"/>
    </row>
    <row r="92" customFormat="false" ht="20.1" hidden="false" customHeight="true" outlineLevel="0" collapsed="false">
      <c r="A92" s="47"/>
      <c r="B92" s="34"/>
      <c r="C92" s="34"/>
      <c r="D92" s="34"/>
      <c r="E92" s="34"/>
      <c r="F92" s="34"/>
      <c r="G92" s="34"/>
      <c r="H92" s="43" t="n">
        <f aca="false">G92*F92*E92*D92/1000000000</f>
        <v>0</v>
      </c>
      <c r="I92" s="43"/>
      <c r="J92" s="45"/>
      <c r="K92" s="44"/>
    </row>
    <row r="93" customFormat="false" ht="20.1" hidden="false" customHeight="true" outlineLevel="0" collapsed="false">
      <c r="A93" s="47"/>
      <c r="B93" s="34"/>
      <c r="C93" s="34"/>
      <c r="D93" s="34"/>
      <c r="E93" s="34"/>
      <c r="F93" s="34"/>
      <c r="G93" s="34"/>
      <c r="H93" s="43" t="n">
        <f aca="false">G93*F93*E93*D93/1000000000</f>
        <v>0</v>
      </c>
      <c r="I93" s="43"/>
      <c r="J93" s="45"/>
      <c r="K93" s="44"/>
    </row>
    <row r="94" customFormat="false" ht="20.1" hidden="false" customHeight="true" outlineLevel="0" collapsed="false">
      <c r="A94" s="47"/>
      <c r="B94" s="34"/>
      <c r="C94" s="34"/>
      <c r="D94" s="34"/>
      <c r="E94" s="34"/>
      <c r="F94" s="34"/>
      <c r="G94" s="34"/>
      <c r="H94" s="43" t="n">
        <f aca="false">G94*F94*E94*D94/1000000000</f>
        <v>0</v>
      </c>
      <c r="I94" s="43"/>
      <c r="J94" s="45"/>
      <c r="K94" s="44"/>
    </row>
    <row r="95" customFormat="false" ht="20.1" hidden="false" customHeight="true" outlineLevel="0" collapsed="false">
      <c r="A95" s="47"/>
      <c r="B95" s="34"/>
      <c r="C95" s="34"/>
      <c r="D95" s="34"/>
      <c r="E95" s="34"/>
      <c r="F95" s="34"/>
      <c r="G95" s="34"/>
      <c r="H95" s="43" t="n">
        <f aca="false">G95*F95*E95*D95/1000000000</f>
        <v>0</v>
      </c>
      <c r="I95" s="43"/>
      <c r="J95" s="45"/>
      <c r="K95" s="44"/>
    </row>
    <row r="96" customFormat="false" ht="20.1" hidden="false" customHeight="true" outlineLevel="0" collapsed="false">
      <c r="A96" s="47"/>
      <c r="B96" s="34"/>
      <c r="C96" s="34"/>
      <c r="D96" s="34"/>
      <c r="E96" s="34"/>
      <c r="F96" s="34"/>
      <c r="G96" s="34"/>
      <c r="H96" s="43" t="n">
        <f aca="false">G96*F96*E96*D96/1000000000</f>
        <v>0</v>
      </c>
      <c r="I96" s="43"/>
      <c r="J96" s="45"/>
      <c r="K96" s="44"/>
    </row>
    <row r="97" customFormat="false" ht="20.1" hidden="false" customHeight="true" outlineLevel="0" collapsed="false">
      <c r="A97" s="47"/>
      <c r="B97" s="34"/>
      <c r="C97" s="34"/>
      <c r="D97" s="34"/>
      <c r="E97" s="34"/>
      <c r="F97" s="34"/>
      <c r="G97" s="34"/>
      <c r="H97" s="43" t="n">
        <f aca="false">G97*F97*E97*D97/1000000000</f>
        <v>0</v>
      </c>
      <c r="I97" s="43"/>
      <c r="J97" s="45"/>
      <c r="K97" s="44"/>
    </row>
    <row r="98" customFormat="false" ht="20.1" hidden="false" customHeight="true" outlineLevel="0" collapsed="false">
      <c r="A98" s="47"/>
      <c r="B98" s="34"/>
      <c r="C98" s="34"/>
      <c r="D98" s="34"/>
      <c r="E98" s="34"/>
      <c r="F98" s="34"/>
      <c r="G98" s="34"/>
      <c r="H98" s="43" t="n">
        <f aca="false">G98*F98*E98*D98/1000000000</f>
        <v>0</v>
      </c>
      <c r="I98" s="43"/>
      <c r="J98" s="45"/>
      <c r="K98" s="44"/>
    </row>
    <row r="99" customFormat="false" ht="20.1" hidden="false" customHeight="true" outlineLevel="0" collapsed="false">
      <c r="A99" s="47"/>
      <c r="B99" s="34"/>
      <c r="C99" s="34"/>
      <c r="D99" s="34"/>
      <c r="E99" s="34"/>
      <c r="F99" s="34"/>
      <c r="G99" s="34"/>
      <c r="H99" s="43" t="n">
        <f aca="false">G99*F99*E99*D99/1000000000</f>
        <v>0</v>
      </c>
      <c r="I99" s="43"/>
      <c r="J99" s="45"/>
      <c r="K99" s="44"/>
    </row>
    <row r="100" customFormat="false" ht="20.1" hidden="false" customHeight="true" outlineLevel="0" collapsed="false">
      <c r="A100" s="47"/>
      <c r="B100" s="34"/>
      <c r="C100" s="34"/>
      <c r="D100" s="34"/>
      <c r="E100" s="34"/>
      <c r="F100" s="34"/>
      <c r="G100" s="34"/>
      <c r="H100" s="43" t="n">
        <f aca="false">G100*F100*E100*D100/1000000000</f>
        <v>0</v>
      </c>
      <c r="I100" s="43"/>
      <c r="J100" s="45"/>
      <c r="K100" s="44"/>
    </row>
    <row r="101" customFormat="false" ht="20.1" hidden="false" customHeight="true" outlineLevel="0" collapsed="false">
      <c r="A101" s="47"/>
      <c r="B101" s="34"/>
      <c r="C101" s="34"/>
      <c r="D101" s="34"/>
      <c r="E101" s="34"/>
      <c r="F101" s="34"/>
      <c r="G101" s="34"/>
      <c r="H101" s="43" t="n">
        <f aca="false">G101*F101*E101*D101/1000000000</f>
        <v>0</v>
      </c>
      <c r="I101" s="43"/>
      <c r="J101" s="45"/>
      <c r="K101" s="44"/>
    </row>
    <row r="102" customFormat="false" ht="20.1" hidden="false" customHeight="true" outlineLevel="0" collapsed="false">
      <c r="A102" s="47"/>
      <c r="B102" s="34"/>
      <c r="C102" s="34"/>
      <c r="D102" s="34"/>
      <c r="E102" s="34"/>
      <c r="F102" s="34"/>
      <c r="G102" s="34"/>
      <c r="H102" s="43" t="n">
        <f aca="false">G102*F102*E102*D102/1000000000</f>
        <v>0</v>
      </c>
      <c r="I102" s="43"/>
      <c r="J102" s="45"/>
      <c r="K102" s="44"/>
    </row>
    <row r="103" customFormat="false" ht="20.1" hidden="false" customHeight="true" outlineLevel="0" collapsed="false">
      <c r="A103" s="47"/>
      <c r="B103" s="34"/>
      <c r="C103" s="34"/>
      <c r="D103" s="34"/>
      <c r="E103" s="34"/>
      <c r="F103" s="34"/>
      <c r="G103" s="34"/>
      <c r="H103" s="43" t="n">
        <f aca="false">G103*F103*E103*D103/1000000000</f>
        <v>0</v>
      </c>
      <c r="I103" s="43"/>
      <c r="J103" s="45"/>
      <c r="K103" s="44"/>
    </row>
    <row r="104" customFormat="false" ht="20.1" hidden="false" customHeight="true" outlineLevel="0" collapsed="false">
      <c r="A104" s="47"/>
      <c r="B104" s="34"/>
      <c r="C104" s="34"/>
      <c r="D104" s="34"/>
      <c r="E104" s="34"/>
      <c r="F104" s="34"/>
      <c r="G104" s="34"/>
      <c r="H104" s="43" t="n">
        <f aca="false">G104*F104*E104*D104/1000000000</f>
        <v>0</v>
      </c>
      <c r="I104" s="43"/>
      <c r="J104" s="45"/>
      <c r="K104" s="44"/>
    </row>
    <row r="105" customFormat="false" ht="20.1" hidden="false" customHeight="true" outlineLevel="0" collapsed="false">
      <c r="A105" s="47"/>
      <c r="B105" s="34"/>
      <c r="C105" s="34"/>
      <c r="D105" s="34"/>
      <c r="E105" s="34"/>
      <c r="F105" s="34"/>
      <c r="G105" s="34"/>
      <c r="H105" s="43" t="n">
        <f aca="false">G105*F105*E105*D105/1000000000</f>
        <v>0</v>
      </c>
      <c r="I105" s="43"/>
      <c r="J105" s="45"/>
      <c r="K105" s="44"/>
    </row>
    <row r="106" customFormat="false" ht="20.1" hidden="false" customHeight="true" outlineLevel="0" collapsed="false">
      <c r="A106" s="47"/>
      <c r="B106" s="34"/>
      <c r="C106" s="34"/>
      <c r="D106" s="34"/>
      <c r="E106" s="34"/>
      <c r="F106" s="34"/>
      <c r="G106" s="34"/>
      <c r="H106" s="43" t="n">
        <f aca="false">G106*F106*E106*D106/1000000000</f>
        <v>0</v>
      </c>
      <c r="I106" s="43"/>
      <c r="J106" s="45"/>
      <c r="K106" s="44"/>
    </row>
    <row r="107" customFormat="false" ht="20.1" hidden="false" customHeight="true" outlineLevel="0" collapsed="false">
      <c r="A107" s="47"/>
      <c r="B107" s="34"/>
      <c r="C107" s="34"/>
      <c r="D107" s="34"/>
      <c r="E107" s="34"/>
      <c r="F107" s="34"/>
      <c r="G107" s="34"/>
      <c r="H107" s="43" t="n">
        <f aca="false">G107*F107*E107*D107/1000000000</f>
        <v>0</v>
      </c>
      <c r="I107" s="43"/>
      <c r="J107" s="45"/>
      <c r="K107" s="44"/>
    </row>
    <row r="108" customFormat="false" ht="0.75" hidden="false" customHeight="true" outlineLevel="0" collapsed="false">
      <c r="A108" s="48"/>
      <c r="B108" s="49"/>
      <c r="C108" s="50"/>
      <c r="D108" s="51"/>
      <c r="E108" s="52"/>
      <c r="F108" s="52"/>
      <c r="G108" s="52"/>
      <c r="H108" s="53" t="n">
        <f aca="false">G108*F108*E108*D108/1000000000</f>
        <v>0</v>
      </c>
      <c r="I108" s="54"/>
      <c r="J108" s="55"/>
      <c r="K108" s="56"/>
    </row>
    <row r="109" customFormat="false" ht="18" hidden="false" customHeight="true" outlineLevel="0" collapsed="false">
      <c r="A109" s="57"/>
      <c r="B109" s="58"/>
      <c r="C109" s="59" t="n">
        <f aca="false">SUM(C13:C108)</f>
        <v>0</v>
      </c>
      <c r="D109" s="59" t="n">
        <f aca="false">SUM(D13:D108)</f>
        <v>0</v>
      </c>
      <c r="E109" s="58"/>
      <c r="F109" s="58"/>
      <c r="G109" s="60" t="s">
        <v>24</v>
      </c>
      <c r="H109" s="61" t="n">
        <f aca="false">SUM(H13:H108)</f>
        <v>0</v>
      </c>
      <c r="I109" s="62"/>
      <c r="J109" s="63"/>
      <c r="K109" s="64" t="str">
        <f aca="false">ROUNDUP(((H109*420)/1000),1)&amp;" - toneladas"</f>
        <v>0 - toneladas</v>
      </c>
    </row>
    <row r="110" customFormat="false" ht="15.95" hidden="false" customHeight="true" outlineLevel="0" collapsed="false">
      <c r="A110" s="65" t="s">
        <v>25</v>
      </c>
      <c r="B110" s="66"/>
      <c r="C110" s="67" t="s">
        <v>26</v>
      </c>
      <c r="D110" s="68"/>
      <c r="J110" s="69"/>
    </row>
    <row r="111" customFormat="false" ht="15.95" hidden="false" customHeight="true" outlineLevel="0" collapsed="false">
      <c r="A111" s="70" t="s">
        <v>23</v>
      </c>
      <c r="B111" s="71"/>
      <c r="C111" s="71"/>
      <c r="D111" s="71"/>
      <c r="E111" s="71"/>
      <c r="F111" s="72"/>
      <c r="G111" s="73"/>
      <c r="H111" s="73"/>
      <c r="I111" s="74"/>
      <c r="J111" s="65"/>
    </row>
    <row r="112" customFormat="false" ht="15.95" hidden="false" customHeight="true" outlineLevel="0" collapsed="false"/>
    <row r="113" customFormat="false" ht="15.95" hidden="false" customHeight="true" outlineLevel="0" collapsed="false"/>
    <row r="114" customFormat="false" ht="15.95" hidden="false" customHeight="true" outlineLevel="0" collapsed="false"/>
  </sheetData>
  <mergeCells count="12">
    <mergeCell ref="A1:K1"/>
    <mergeCell ref="A2:K2"/>
    <mergeCell ref="A3:K3"/>
    <mergeCell ref="A5:K5"/>
    <mergeCell ref="B7:E7"/>
    <mergeCell ref="B8:G8"/>
    <mergeCell ref="B9:E9"/>
    <mergeCell ref="B10:E10"/>
    <mergeCell ref="B11:D11"/>
    <mergeCell ref="G11:J11"/>
    <mergeCell ref="B111:E111"/>
    <mergeCell ref="G111:H111"/>
  </mergeCells>
  <printOptions headings="false" gridLines="false" gridLinesSet="true" horizontalCentered="true" verticalCentered="false"/>
  <pageMargins left="0.315277777777778" right="0.315277777777778" top="0.551388888888889" bottom="0.551388888888889" header="0.511811023622047" footer="0"/>
  <pageSetup paperSize="9" scale="100" fitToWidth="1" fitToHeight="10" pageOrder="downThenOver" orientation="portrait" blackAndWhite="false" draft="false" cellComments="none" horizontalDpi="300" verticalDpi="300" copies="1"/>
  <headerFooter differentFirst="false" differentOddEven="false">
    <oddHeader/>
    <oddFooter>&amp;R&amp;8&amp;D&amp;T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2010-07-14T16:00:41Z</dcterms:created>
  <dc:creator>Luan</dc:creator>
  <dc:description/>
  <dc:language>en-US</dc:language>
  <cp:lastModifiedBy>Embalagem</cp:lastModifiedBy>
  <cp:lastPrinted>2023-02-13T11:53:06Z</cp:lastPrinted>
  <dcterms:modified xsi:type="dcterms:W3CDTF">2026-09-03T11:52:53Z</dcterms:modified>
  <cp:revision>0</cp:revision>
  <dc:subject/>
  <dc:title/>
</cp:coreProperties>
</file>