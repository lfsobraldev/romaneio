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manei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<sst xmlns="http://schemas.openxmlformats.org/spreadsheetml/2006/main" count="144" uniqueCount="79">
  <si>
    <t xml:space="preserve">    RUA "A" S/N QUADRA 04 LOTES 29 A 34 </t>
  </si>
  <si>
    <t xml:space="preserve">    DISTRITO INDUSTRIAL DE ESTÂNCIA - SE</t>
  </si>
  <si>
    <t xml:space="preserve">Telefone: 079-3522 1228</t>
  </si>
  <si>
    <t xml:space="preserve">                                       ROMANEIO DE SAIDA DE PRODUTOS - MERCADO INTERNO                                          </t>
  </si>
  <si>
    <t xml:space="preserve">Data : </t>
  </si>
  <si>
    <t xml:space="preserve">Motorista : </t>
  </si>
  <si>
    <t xml:space="preserve">Cliente:</t>
  </si>
  <si>
    <t xml:space="preserve">Taj Home Resort SPE 037 - Empreend. Imobiliários </t>
  </si>
  <si>
    <t xml:space="preserve">Transportadora: </t>
  </si>
  <si>
    <t xml:space="preserve">Destino:</t>
  </si>
  <si>
    <t xml:space="preserve">Vila Velha - ES</t>
  </si>
  <si>
    <t xml:space="preserve">Placa : </t>
  </si>
  <si>
    <t xml:space="preserve">Pedido:</t>
  </si>
  <si>
    <t xml:space="preserve">Entrega:</t>
  </si>
  <si>
    <t xml:space="preserve">Nota Fiscal N°: </t>
  </si>
  <si>
    <t xml:space="preserve">N º pacote</t>
  </si>
  <si>
    <t xml:space="preserve">Pedido</t>
  </si>
  <si>
    <t xml:space="preserve">Jogos</t>
  </si>
  <si>
    <t xml:space="preserve">Qtde</t>
  </si>
  <si>
    <t xml:space="preserve">Compr.</t>
  </si>
  <si>
    <t xml:space="preserve">Largura</t>
  </si>
  <si>
    <t xml:space="preserve">Espessura</t>
  </si>
  <si>
    <t xml:space="preserve">m³</t>
  </si>
  <si>
    <t xml:space="preserve">Produto</t>
  </si>
  <si>
    <t xml:space="preserve">Obs:</t>
  </si>
  <si>
    <t xml:space="preserve">Folha de Porta Sólida BD Impresso Freijo Nogara Direita Externa (C/Plast.)</t>
  </si>
  <si>
    <t xml:space="preserve">Itens 7.1 / 8.1 / 9.1 / 10.1 / 31.1 / 32.1 / 33.1 / 34.1 / 35.1 </t>
  </si>
  <si>
    <t xml:space="preserve">Folha de Porta Sólida BD Impresso Freijo Nogara Esquerda Externa (C/Plast.)</t>
  </si>
  <si>
    <r>
      <rPr>
        <i val="true"/>
        <sz val="14"/>
        <rFont val="Arial"/>
        <family val="2"/>
      </rPr>
      <t xml:space="preserve">Folha de Porta Sólida BD RU Impresso Freijo Nogara Esquerda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</t>
    </r>
  </si>
  <si>
    <r>
      <rPr>
        <i val="true"/>
        <sz val="14"/>
        <rFont val="Arial"/>
        <family val="2"/>
      </rPr>
      <t xml:space="preserve">Folha de Porta Sólida BD RU Impresso Freijo Nogara Direita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</t>
    </r>
  </si>
  <si>
    <t xml:space="preserve">Folha de Porta Sólida BD RU Impresso Freijo Nogara Direita Externa (C/Plast.)</t>
  </si>
  <si>
    <t xml:space="preserve">Itens 4.1 / 5.1 / 6.1/ 29.1 / 30.1</t>
  </si>
  <si>
    <t xml:space="preserve">Folha de Porta Sólida BD RU Impresso Freijo Nogara Esquerda Externa (C/Plast.)</t>
  </si>
  <si>
    <t xml:space="preserve">Folha de Porta Sólida BD RU Impresso Freijo Nogara Esquerda WC (C/Plast.)</t>
  </si>
  <si>
    <t xml:space="preserve">Itens 1.1 / 2.1 / 3.1 / 25.1 / 26.1 / 27.1 / 28.1 </t>
  </si>
  <si>
    <t xml:space="preserve">Folha de Porta Sólida BD RU Impresso Freijo Nogara Direita WC (C/Plast.)</t>
  </si>
  <si>
    <t xml:space="preserve">Perna de Marco Pet Freijo Nogara 2L Borr. Aplic."I" 42x10 Dobradiça Direita (C/Plast.) </t>
  </si>
  <si>
    <t xml:space="preserve">Itens 1.2 / 2.2 / 3.2 / 4.2 / 5.2 / 6.2 / 7.2 / 8.2 / 9.2 / 10.2 / 25.2 / 26.2 / 27.2 / 28.2 / 29.2 / 30.2 / 31.2 / 32.2 / 33.2 / 34.2 / 35.2</t>
  </si>
  <si>
    <r>
      <rPr>
        <i val="true"/>
        <sz val="14"/>
        <rFont val="Arial"/>
        <family val="2"/>
      </rPr>
      <t xml:space="preserve">Perna de Marco Pet Freijo Nogara 2L Borr. Aplic."I" 42x10 Dobradiça Direita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 </t>
    </r>
  </si>
  <si>
    <t xml:space="preserve">Perna de Marco Pet Freijo Nogara 2L Borr. Aplic."I" 42x10 Contratesta Direita (C/Plast.) </t>
  </si>
  <si>
    <r>
      <rPr>
        <i val="true"/>
        <sz val="14"/>
        <rFont val="Arial"/>
        <family val="2"/>
      </rPr>
      <t xml:space="preserve">Perna de Marco Pet Freijo Nogara 2L Borr. Aplic."I" 42x10 Contratesta Direita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 </t>
    </r>
  </si>
  <si>
    <t xml:space="preserve">Perna de Marco Pet Freijo Nogara 2L Borr. Aplic."I" 42x10 Dobradiça Esquerda (C/Plast.) </t>
  </si>
  <si>
    <r>
      <rPr>
        <i val="true"/>
        <sz val="14"/>
        <rFont val="Arial"/>
        <family val="2"/>
      </rPr>
      <t xml:space="preserve">Perna de Marco Pet Freijo Nogara 2L Borr. Aplic."I" 42x10 Dobradiça Esquerda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 </t>
    </r>
  </si>
  <si>
    <t xml:space="preserve">Perna de Marco Pet Freijo Nogara 2L Borr. Aplic."I" 42x10 Contratesta Esquerda (C/Plast.) </t>
  </si>
  <si>
    <r>
      <rPr>
        <i val="true"/>
        <sz val="14"/>
        <rFont val="Arial"/>
        <family val="2"/>
      </rPr>
      <t xml:space="preserve">Perna de Marco Pet Freijo Nogara 2L Borr. Aplic."I" 42x10 Contratesta Esquerda </t>
    </r>
    <r>
      <rPr>
        <b val="true"/>
        <i val="true"/>
        <sz val="14"/>
        <rFont val="Arial"/>
        <family val="2"/>
      </rPr>
      <t xml:space="preserve">Eletrônica</t>
    </r>
    <r>
      <rPr>
        <i val="true"/>
        <sz val="14"/>
        <rFont val="Arial"/>
        <family val="2"/>
      </rPr>
      <t xml:space="preserve"> (C/Plast.) </t>
    </r>
  </si>
  <si>
    <t xml:space="preserve">Travessa de Marco Pet Freijo Nogara 2L Borr. Aplic."I" 42x10 (C/Plast.) </t>
  </si>
  <si>
    <t xml:space="preserve">Folha de Porta Sólida BD RU Impresso Freijo Nogara C/Friso CFME Desenho C/Usi. Pivotante (C/Plast.)</t>
  </si>
  <si>
    <t xml:space="preserve">Item 19</t>
  </si>
  <si>
    <t xml:space="preserve">Item 45</t>
  </si>
  <si>
    <t xml:space="preserve">Folha de Porta de Correr Sólida BD Impresso Freijo Nogara C/Usi. Completa (C/Plast.)</t>
  </si>
  <si>
    <t xml:space="preserve">Itens 14 e 40</t>
  </si>
  <si>
    <t xml:space="preserve">Itens 11 e 36</t>
  </si>
  <si>
    <t xml:space="preserve">Conj. Marco Pet Freijo Nogara 2L + Travessa 1L S/Rebaixo (C/Plast.)</t>
  </si>
  <si>
    <t xml:space="preserve">Itens 12 / 16 / 37 e 41 </t>
  </si>
  <si>
    <t xml:space="preserve">Itens 13 / 38 e 42</t>
  </si>
  <si>
    <t xml:space="preserve">Item 15</t>
  </si>
  <si>
    <t xml:space="preserve">Item 39</t>
  </si>
  <si>
    <t xml:space="preserve">Conj. Marco Pet Freijo Nogara 2L S/Rebaixo (C/Plast.)</t>
  </si>
  <si>
    <t xml:space="preserve">Item 20</t>
  </si>
  <si>
    <t xml:space="preserve">Itens 21 e 46</t>
  </si>
  <si>
    <t xml:space="preserve">Item 47</t>
  </si>
  <si>
    <t xml:space="preserve">Dobradiça Pivotante C/Esfera 150KG Cromada (Pino)</t>
  </si>
  <si>
    <t xml:space="preserve">Itens 24 e 50</t>
  </si>
  <si>
    <t xml:space="preserve">Conj. L Maior 55mm MDF Ultra Pet Freijo Nogara 2L R.1 (C/Plast.)</t>
  </si>
  <si>
    <t xml:space="preserve">Itens 1.3 / 2.3 / 3.3 / 4.3 / 5.3 / 6.3 / 7.3 / 8.3 / 9.3 / 10.3 / 25.3 / 26.3 / 27.3 / 28.3 / 29.3 / 30.3 / 31.3 / 32.3 / 33.3 / 34.3 / 35.3</t>
  </si>
  <si>
    <t xml:space="preserve">Conj. L Menor MDF Ultra Pet Freijo Nogara 2L R.1 (C/Plast.)</t>
  </si>
  <si>
    <t xml:space="preserve">Conj. L Maior 35mm MDF Ultra Pet Freijo Nogara 2L R.1 (C/Plast.)</t>
  </si>
  <si>
    <t xml:space="preserve">Itens 22 e 48</t>
  </si>
  <si>
    <t xml:space="preserve">Baguetes P/Porta Pivotante Pinus Rec. Pet Freijo Nogara C/Borr. Aplic."T" R.1 (C/Plast.)</t>
  </si>
  <si>
    <t xml:space="preserve">Itens 23 e 49</t>
  </si>
  <si>
    <t xml:space="preserve">Conj. Kit de Correr "Modelo B" Pet Freijo Nogara + Ferragens (C/Plast.)</t>
  </si>
  <si>
    <t xml:space="preserve">Itens 18 e 44</t>
  </si>
  <si>
    <t xml:space="preserve">Dobradiça Aço Inox 304 Famossul 3x2,5 R16 ESC</t>
  </si>
  <si>
    <t xml:space="preserve">Itens 1.4 ao 10.4 / 25.4 ao 35.4</t>
  </si>
  <si>
    <t xml:space="preserve">Total m³</t>
  </si>
  <si>
    <t xml:space="preserve">Filtro:</t>
  </si>
  <si>
    <t xml:space="preserve">Pag.:</t>
  </si>
  <si>
    <t xml:space="preserve">Mont. HS</t>
  </si>
  <si>
    <t xml:space="preserve">EMBALAR ALIZARES PADRÃO REVENDA!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</si>
</sst>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.000_);_(* \(#,##0.000\);_(* \-??_);_(@_)"/>
    <numFmt numFmtId="167" formatCode="[$-409]m/d/yyyy"/>
    <numFmt numFmtId="168" formatCode="0.000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0"/>
      <name val="Arial"/>
      <family val="0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i val="true"/>
      <sz val="14"/>
      <name val="Arial"/>
      <family val="2"/>
    </font>
    <font>
      <b val="true"/>
      <i val="true"/>
      <sz val="14"/>
      <name val="Arial"/>
      <family val="2"/>
    </font>
    <font>
      <b val="true"/>
      <sz val="11"/>
      <name val="Arial"/>
      <family val="2"/>
    </font>
    <font>
      <b val="true"/>
      <sz val="13"/>
      <name val="Arial"/>
      <family val="2"/>
    </font>
    <font>
      <b val="true"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/>
      <top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hair"/>
      <top style="medium"/>
      <bottom style="medium"/>
      <diagonal/>
    </border>
    <border diagonalUp="false" diagonalDown="false">
      <left style="hair"/>
      <right/>
      <top style="medium"/>
      <bottom style="medium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532440</xdr:colOff>
      <xdr:row>1</xdr:row>
      <xdr:rowOff>190800</xdr:rowOff>
    </xdr:from>
    <xdr:to>
      <xdr:col>9</xdr:col>
      <xdr:colOff>1138680</xdr:colOff>
      <xdr:row>3</xdr:row>
      <xdr:rowOff>190440</xdr:rowOff>
    </xdr:to>
    <xdr:pic>
      <xdr:nvPicPr>
        <xdr:cNvPr id="1" name="Imagem 2"/>
        <xdr:cNvPicPr/>
      </xdr:nvPicPr>
      <xdr:blipFill>
        <a:blip r:embed="rId1"/>
        <a:stretch/>
      </xdr:blipFill>
      <xdr:spPr>
        <a:xfrm>
          <a:off x="15327360" y="447840"/>
          <a:ext cx="606240" cy="40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252000</xdr:colOff>
      <xdr:row>2</xdr:row>
      <xdr:rowOff>181080</xdr:rowOff>
    </xdr:to>
    <xdr:pic>
      <xdr:nvPicPr>
        <xdr:cNvPr id="2" name="Imagem 2"/>
        <xdr:cNvPicPr/>
      </xdr:nvPicPr>
      <xdr:blipFill>
        <a:blip r:embed="rId2"/>
        <a:stretch/>
      </xdr:blipFill>
      <xdr:spPr>
        <a:xfrm>
          <a:off x="0" y="0"/>
          <a:ext cx="2796480" cy="64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9.7"/>
    <col collapsed="false" customWidth="true" hidden="false" outlineLevel="0" max="3" min="2" style="0" width="8.85"/>
    <col collapsed="false" customWidth="true" hidden="false" outlineLevel="0" max="4" min="4" style="0" width="8.7"/>
    <col collapsed="false" customWidth="true" hidden="false" outlineLevel="0" max="5" min="5" style="0" width="10.56"/>
    <col collapsed="false" customWidth="true" hidden="false" outlineLevel="0" max="8" min="6" style="0" width="10.71"/>
    <col collapsed="false" customWidth="true" hidden="false" outlineLevel="0" max="9" min="9" style="0" width="131.13"/>
    <col collapsed="false" customWidth="true" hidden="false" outlineLevel="0" max="10" min="10" style="1" width="28.14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9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9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5.95" hidden="false" customHeight="true" outlineLevel="0" collapsed="false"/>
    <row r="5" customFormat="false" ht="15.9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.95" hidden="false" customHeight="true" outlineLevel="0" collapsed="false">
      <c r="G6" s="5"/>
    </row>
    <row r="7" customFormat="false" ht="15.95" hidden="false" customHeight="true" outlineLevel="0" collapsed="false">
      <c r="A7" s="6" t="s">
        <v>4</v>
      </c>
      <c r="B7" s="7"/>
      <c r="C7" s="7"/>
      <c r="D7" s="7"/>
      <c r="E7" s="7"/>
      <c r="F7" s="8"/>
      <c r="G7" s="8"/>
      <c r="H7" s="8" t="s">
        <v>5</v>
      </c>
      <c r="I7" s="8"/>
      <c r="J7" s="9"/>
    </row>
    <row r="8" customFormat="false" ht="15.95" hidden="false" customHeight="true" outlineLevel="0" collapsed="false">
      <c r="A8" s="10" t="s">
        <v>6</v>
      </c>
      <c r="B8" s="11" t="s">
        <v>7</v>
      </c>
      <c r="C8" s="11"/>
      <c r="D8" s="11"/>
      <c r="E8" s="11"/>
      <c r="F8" s="11"/>
      <c r="G8" s="11"/>
      <c r="H8" s="8" t="s">
        <v>8</v>
      </c>
      <c r="I8" s="8"/>
      <c r="J8" s="9"/>
    </row>
    <row r="9" customFormat="false" ht="15.95" hidden="false" customHeight="true" outlineLevel="0" collapsed="false">
      <c r="A9" s="12" t="s">
        <v>9</v>
      </c>
      <c r="B9" s="13" t="s">
        <v>10</v>
      </c>
      <c r="C9" s="13"/>
      <c r="D9" s="13"/>
      <c r="E9" s="13"/>
      <c r="F9" s="14"/>
      <c r="G9" s="14"/>
      <c r="H9" s="8" t="s">
        <v>11</v>
      </c>
      <c r="I9" s="8"/>
      <c r="J9" s="9"/>
    </row>
    <row r="10" customFormat="false" ht="15.95" hidden="false" customHeight="true" outlineLevel="0" collapsed="false">
      <c r="A10" s="10" t="s">
        <v>12</v>
      </c>
      <c r="B10" s="15" t="n">
        <v>25948</v>
      </c>
      <c r="C10" s="15"/>
      <c r="D10" s="15"/>
      <c r="E10" s="15"/>
      <c r="F10" s="14"/>
      <c r="G10" s="14"/>
      <c r="H10" s="8"/>
      <c r="I10" s="8"/>
      <c r="J10" s="9"/>
    </row>
    <row r="11" customFormat="false" ht="26.25" hidden="false" customHeight="true" outlineLevel="0" collapsed="false">
      <c r="A11" s="16" t="s">
        <v>13</v>
      </c>
      <c r="B11" s="17"/>
      <c r="C11" s="17"/>
      <c r="D11" s="17"/>
      <c r="E11" s="16"/>
      <c r="F11" s="8"/>
      <c r="G11" s="18" t="s">
        <v>14</v>
      </c>
      <c r="H11" s="18"/>
      <c r="I11" s="18"/>
      <c r="J11" s="9"/>
    </row>
    <row r="12" customFormat="false" ht="15.95" hidden="false" customHeight="true" outlineLevel="0" collapsed="false">
      <c r="A12" s="19" t="s">
        <v>15</v>
      </c>
      <c r="B12" s="20" t="s">
        <v>16</v>
      </c>
      <c r="C12" s="20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0" t="s">
        <v>22</v>
      </c>
      <c r="I12" s="21" t="s">
        <v>23</v>
      </c>
      <c r="J12" s="22" t="s">
        <v>24</v>
      </c>
    </row>
    <row r="13" customFormat="false" ht="20.1" hidden="false" customHeight="true" outlineLevel="0" collapsed="false">
      <c r="A13" s="23" t="n">
        <v>1</v>
      </c>
      <c r="B13" s="24" t="n">
        <v>25948</v>
      </c>
      <c r="C13" s="25"/>
      <c r="D13" s="24" t="n">
        <v>6</v>
      </c>
      <c r="E13" s="24" t="n">
        <v>2100</v>
      </c>
      <c r="F13" s="24" t="n">
        <v>800</v>
      </c>
      <c r="G13" s="24" t="n">
        <v>35</v>
      </c>
      <c r="H13" s="26" t="n">
        <f aca="false">G13*F13*E13*D13/1000000000</f>
        <v>0.3528</v>
      </c>
      <c r="I13" s="27" t="s">
        <v>25</v>
      </c>
      <c r="J13" s="28" t="s">
        <v>26</v>
      </c>
    </row>
    <row r="14" customFormat="false" ht="20.1" hidden="false" customHeight="true" outlineLevel="0" collapsed="false">
      <c r="A14" s="23"/>
      <c r="B14" s="24"/>
      <c r="C14" s="29"/>
      <c r="D14" s="30" t="n">
        <v>5</v>
      </c>
      <c r="E14" s="30" t="n">
        <v>2100</v>
      </c>
      <c r="F14" s="29" t="n">
        <v>800</v>
      </c>
      <c r="G14" s="29" t="n">
        <v>35</v>
      </c>
      <c r="H14" s="31" t="n">
        <f aca="false">G14*F14*E14*D14/1000000000</f>
        <v>0.294</v>
      </c>
      <c r="I14" s="32" t="s">
        <v>27</v>
      </c>
      <c r="J14" s="28"/>
    </row>
    <row r="15" customFormat="false" ht="20.1" hidden="false" customHeight="true" outlineLevel="0" collapsed="false">
      <c r="A15" s="23"/>
      <c r="B15" s="24"/>
      <c r="C15" s="29"/>
      <c r="D15" s="30" t="n">
        <v>13</v>
      </c>
      <c r="E15" s="30" t="n">
        <v>2100</v>
      </c>
      <c r="F15" s="29" t="n">
        <v>800</v>
      </c>
      <c r="G15" s="29" t="n">
        <v>35</v>
      </c>
      <c r="H15" s="31" t="n">
        <f aca="false">G15*F15*E15*D15/1000000000</f>
        <v>0.7644</v>
      </c>
      <c r="I15" s="32" t="s">
        <v>28</v>
      </c>
      <c r="J15" s="28"/>
    </row>
    <row r="16" customFormat="false" ht="20.1" hidden="false" customHeight="true" outlineLevel="0" collapsed="false">
      <c r="A16" s="23"/>
      <c r="B16" s="24"/>
      <c r="C16" s="33"/>
      <c r="D16" s="30" t="n">
        <v>8</v>
      </c>
      <c r="E16" s="30" t="n">
        <v>2100</v>
      </c>
      <c r="F16" s="29" t="n">
        <v>800</v>
      </c>
      <c r="G16" s="29" t="n">
        <v>35</v>
      </c>
      <c r="H16" s="31" t="n">
        <f aca="false">G16*F16*E16*D16/1000000000</f>
        <v>0.4704</v>
      </c>
      <c r="I16" s="32" t="s">
        <v>29</v>
      </c>
      <c r="J16" s="28"/>
    </row>
    <row r="17" customFormat="false" ht="20.1" hidden="false" customHeight="true" outlineLevel="0" collapsed="false">
      <c r="A17" s="34" t="n">
        <v>2</v>
      </c>
      <c r="B17" s="29" t="n">
        <v>25948</v>
      </c>
      <c r="C17" s="35"/>
      <c r="D17" s="30" t="n">
        <v>4</v>
      </c>
      <c r="E17" s="30" t="n">
        <v>2100</v>
      </c>
      <c r="F17" s="29" t="n">
        <v>800</v>
      </c>
      <c r="G17" s="29" t="n">
        <v>35</v>
      </c>
      <c r="H17" s="31" t="n">
        <f aca="false">G17*F17*E17*D17/1000000000</f>
        <v>0.2352</v>
      </c>
      <c r="I17" s="32" t="s">
        <v>29</v>
      </c>
      <c r="J17" s="28"/>
    </row>
    <row r="18" customFormat="false" ht="20.1" hidden="false" customHeight="true" outlineLevel="0" collapsed="false">
      <c r="A18" s="34"/>
      <c r="B18" s="29"/>
      <c r="C18" s="29"/>
      <c r="D18" s="30" t="n">
        <v>28</v>
      </c>
      <c r="E18" s="30" t="n">
        <v>2100</v>
      </c>
      <c r="F18" s="29" t="n">
        <v>700</v>
      </c>
      <c r="G18" s="29" t="n">
        <v>35</v>
      </c>
      <c r="H18" s="31" t="n">
        <f aca="false">G18*F18*E18*D18/1000000000</f>
        <v>1.4406</v>
      </c>
      <c r="I18" s="32" t="s">
        <v>30</v>
      </c>
      <c r="J18" s="36" t="s">
        <v>31</v>
      </c>
    </row>
    <row r="19" customFormat="false" ht="20.1" hidden="false" customHeight="true" outlineLevel="0" collapsed="false">
      <c r="A19" s="34" t="n">
        <v>3</v>
      </c>
      <c r="B19" s="29" t="n">
        <v>25948</v>
      </c>
      <c r="C19" s="29"/>
      <c r="D19" s="30" t="n">
        <v>9</v>
      </c>
      <c r="E19" s="30" t="n">
        <v>2100</v>
      </c>
      <c r="F19" s="29" t="n">
        <v>700</v>
      </c>
      <c r="G19" s="29" t="n">
        <v>35</v>
      </c>
      <c r="H19" s="31" t="n">
        <f aca="false">G19*F19*E19*D19/1000000000</f>
        <v>0.46305</v>
      </c>
      <c r="I19" s="32" t="s">
        <v>30</v>
      </c>
      <c r="J19" s="36"/>
    </row>
    <row r="20" customFormat="false" ht="20.1" hidden="false" customHeight="true" outlineLevel="0" collapsed="false">
      <c r="A20" s="34"/>
      <c r="B20" s="29"/>
      <c r="C20" s="29"/>
      <c r="D20" s="30" t="n">
        <v>23</v>
      </c>
      <c r="E20" s="30" t="n">
        <v>2100</v>
      </c>
      <c r="F20" s="29" t="n">
        <v>700</v>
      </c>
      <c r="G20" s="29" t="n">
        <v>35</v>
      </c>
      <c r="H20" s="31" t="n">
        <f aca="false">G20*F20*E20*D20/1000000000</f>
        <v>1.18335</v>
      </c>
      <c r="I20" s="32" t="s">
        <v>32</v>
      </c>
      <c r="J20" s="36"/>
    </row>
    <row r="21" customFormat="false" ht="20.1" hidden="false" customHeight="true" outlineLevel="0" collapsed="false">
      <c r="A21" s="34" t="n">
        <v>4</v>
      </c>
      <c r="B21" s="29" t="n">
        <v>25948</v>
      </c>
      <c r="C21" s="29"/>
      <c r="D21" s="30" t="n">
        <v>13</v>
      </c>
      <c r="E21" s="30" t="n">
        <v>2100</v>
      </c>
      <c r="F21" s="29" t="n">
        <v>700</v>
      </c>
      <c r="G21" s="29" t="n">
        <v>35</v>
      </c>
      <c r="H21" s="31" t="n">
        <f aca="false">G21*F21*E21*D21/1000000000</f>
        <v>0.66885</v>
      </c>
      <c r="I21" s="32" t="s">
        <v>32</v>
      </c>
      <c r="J21" s="36"/>
    </row>
    <row r="22" customFormat="false" ht="20.1" hidden="false" customHeight="true" outlineLevel="0" collapsed="false">
      <c r="A22" s="34"/>
      <c r="B22" s="29"/>
      <c r="C22" s="29"/>
      <c r="D22" s="30" t="n">
        <v>19</v>
      </c>
      <c r="E22" s="30" t="n">
        <v>2100</v>
      </c>
      <c r="F22" s="29" t="n">
        <v>600</v>
      </c>
      <c r="G22" s="29" t="n">
        <v>35</v>
      </c>
      <c r="H22" s="31" t="n">
        <f aca="false">G22*F22*E22*D22/1000000000</f>
        <v>0.8379</v>
      </c>
      <c r="I22" s="32" t="s">
        <v>33</v>
      </c>
      <c r="J22" s="36" t="s">
        <v>34</v>
      </c>
    </row>
    <row r="23" customFormat="false" ht="20.1" hidden="false" customHeight="true" outlineLevel="0" collapsed="false">
      <c r="A23" s="34" t="n">
        <v>5</v>
      </c>
      <c r="B23" s="29" t="n">
        <v>25948</v>
      </c>
      <c r="C23" s="29"/>
      <c r="D23" s="30" t="n">
        <v>32</v>
      </c>
      <c r="E23" s="30" t="n">
        <v>2100</v>
      </c>
      <c r="F23" s="29" t="n">
        <v>600</v>
      </c>
      <c r="G23" s="29" t="n">
        <v>35</v>
      </c>
      <c r="H23" s="31" t="n">
        <f aca="false">G23*F23*E23*D23/1000000000</f>
        <v>1.4112</v>
      </c>
      <c r="I23" s="32" t="s">
        <v>33</v>
      </c>
      <c r="J23" s="36"/>
    </row>
    <row r="24" customFormat="false" ht="20.1" hidden="false" customHeight="true" outlineLevel="0" collapsed="false">
      <c r="A24" s="34" t="n">
        <v>6</v>
      </c>
      <c r="B24" s="29" t="n">
        <v>25948</v>
      </c>
      <c r="C24" s="29"/>
      <c r="D24" s="30" t="n">
        <v>9</v>
      </c>
      <c r="E24" s="30" t="n">
        <v>2100</v>
      </c>
      <c r="F24" s="29" t="n">
        <v>600</v>
      </c>
      <c r="G24" s="29" t="n">
        <v>35</v>
      </c>
      <c r="H24" s="31" t="n">
        <f aca="false">G24*F24*E24*D24/1000000000</f>
        <v>0.3969</v>
      </c>
      <c r="I24" s="32" t="s">
        <v>33</v>
      </c>
      <c r="J24" s="36"/>
    </row>
    <row r="25" customFormat="false" ht="20.1" hidden="false" customHeight="true" outlineLevel="0" collapsed="false">
      <c r="A25" s="34"/>
      <c r="B25" s="29"/>
      <c r="C25" s="29"/>
      <c r="D25" s="30" t="n">
        <v>23</v>
      </c>
      <c r="E25" s="30" t="n">
        <v>2100</v>
      </c>
      <c r="F25" s="29" t="n">
        <v>600</v>
      </c>
      <c r="G25" s="29" t="n">
        <v>35</v>
      </c>
      <c r="H25" s="31" t="n">
        <f aca="false">G25*F25*E25*D25/1000000000</f>
        <v>1.0143</v>
      </c>
      <c r="I25" s="32" t="s">
        <v>35</v>
      </c>
      <c r="J25" s="36"/>
    </row>
    <row r="26" customFormat="false" ht="20.1" hidden="false" customHeight="true" outlineLevel="0" collapsed="false">
      <c r="A26" s="34" t="n">
        <v>7</v>
      </c>
      <c r="B26" s="29" t="n">
        <v>25948</v>
      </c>
      <c r="C26" s="29"/>
      <c r="D26" s="30" t="n">
        <v>32</v>
      </c>
      <c r="E26" s="30" t="n">
        <v>2100</v>
      </c>
      <c r="F26" s="29" t="n">
        <v>600</v>
      </c>
      <c r="G26" s="29" t="n">
        <v>35</v>
      </c>
      <c r="H26" s="31" t="n">
        <f aca="false">G26*F26*E26*D26/1000000000</f>
        <v>1.4112</v>
      </c>
      <c r="I26" s="32" t="s">
        <v>35</v>
      </c>
      <c r="J26" s="36"/>
    </row>
    <row r="27" customFormat="false" ht="20.1" hidden="false" customHeight="true" outlineLevel="0" collapsed="false">
      <c r="A27" s="34" t="n">
        <v>8</v>
      </c>
      <c r="B27" s="29" t="n">
        <v>25948</v>
      </c>
      <c r="C27" s="29"/>
      <c r="D27" s="30" t="n">
        <v>10</v>
      </c>
      <c r="E27" s="30" t="n">
        <v>2100</v>
      </c>
      <c r="F27" s="29" t="n">
        <v>600</v>
      </c>
      <c r="G27" s="29" t="n">
        <v>35</v>
      </c>
      <c r="H27" s="31" t="n">
        <f aca="false">G27*F27*E27*D27/1000000000</f>
        <v>0.441</v>
      </c>
      <c r="I27" s="32" t="s">
        <v>35</v>
      </c>
      <c r="J27" s="36"/>
    </row>
    <row r="28" customFormat="false" ht="20.1" hidden="false" customHeight="true" outlineLevel="0" collapsed="false">
      <c r="A28" s="34" t="n">
        <v>9</v>
      </c>
      <c r="B28" s="29" t="n">
        <v>25948</v>
      </c>
      <c r="C28" s="29"/>
      <c r="D28" s="30" t="n">
        <v>8</v>
      </c>
      <c r="E28" s="30" t="n">
        <v>2110</v>
      </c>
      <c r="F28" s="29" t="n">
        <v>90</v>
      </c>
      <c r="G28" s="29" t="n">
        <v>30</v>
      </c>
      <c r="H28" s="31" t="n">
        <f aca="false">G28*F28*E28*D28/1000000000</f>
        <v>0.045576</v>
      </c>
      <c r="I28" s="32" t="s">
        <v>36</v>
      </c>
      <c r="J28" s="36" t="s">
        <v>37</v>
      </c>
    </row>
    <row r="29" customFormat="false" ht="20.1" hidden="false" customHeight="true" outlineLevel="0" collapsed="false">
      <c r="A29" s="34"/>
      <c r="B29" s="29"/>
      <c r="C29" s="29"/>
      <c r="D29" s="30" t="n">
        <v>34</v>
      </c>
      <c r="E29" s="30" t="n">
        <v>2110</v>
      </c>
      <c r="F29" s="29" t="n">
        <v>110</v>
      </c>
      <c r="G29" s="29" t="n">
        <v>30</v>
      </c>
      <c r="H29" s="31" t="n">
        <f aca="false">G29*F29*E29*D29/1000000000</f>
        <v>0.236742</v>
      </c>
      <c r="I29" s="32" t="s">
        <v>36</v>
      </c>
      <c r="J29" s="3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</row>
    <row r="30" customFormat="false" ht="20.1" hidden="false" customHeight="true" outlineLevel="0" collapsed="false">
      <c r="A30" s="34"/>
      <c r="B30" s="29"/>
      <c r="C30" s="29"/>
      <c r="D30" s="30" t="n">
        <v>52</v>
      </c>
      <c r="E30" s="30" t="n">
        <v>2110</v>
      </c>
      <c r="F30" s="29" t="n">
        <v>130</v>
      </c>
      <c r="G30" s="29" t="n">
        <v>30</v>
      </c>
      <c r="H30" s="31" t="n">
        <f aca="false">G30*F30*E30*D30/1000000000</f>
        <v>0.427908</v>
      </c>
      <c r="I30" s="32" t="s">
        <v>36</v>
      </c>
      <c r="J30" s="36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</row>
    <row r="31" customFormat="false" ht="20.1" hidden="false" customHeight="true" outlineLevel="0" collapsed="false">
      <c r="A31" s="34"/>
      <c r="B31" s="29"/>
      <c r="C31" s="29"/>
      <c r="D31" s="30" t="n">
        <v>7</v>
      </c>
      <c r="E31" s="30" t="n">
        <v>2110</v>
      </c>
      <c r="F31" s="29" t="n">
        <v>150</v>
      </c>
      <c r="G31" s="29" t="n">
        <v>30</v>
      </c>
      <c r="H31" s="31" t="n">
        <f aca="false">G31*F31*E31*D31/1000000000</f>
        <v>0.066465</v>
      </c>
      <c r="I31" s="32" t="s">
        <v>36</v>
      </c>
      <c r="J31" s="36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</row>
    <row r="32" customFormat="false" ht="20.1" hidden="false" customHeight="true" outlineLevel="0" collapsed="false">
      <c r="A32" s="34"/>
      <c r="B32" s="29"/>
      <c r="C32" s="29"/>
      <c r="D32" s="30" t="n">
        <v>5</v>
      </c>
      <c r="E32" s="30" t="n">
        <v>2110</v>
      </c>
      <c r="F32" s="29" t="n">
        <v>150</v>
      </c>
      <c r="G32" s="29" t="n">
        <v>30</v>
      </c>
      <c r="H32" s="31" t="n">
        <f aca="false">G32*F32*E32*D32/1000000000</f>
        <v>0.047475</v>
      </c>
      <c r="I32" s="32" t="s">
        <v>38</v>
      </c>
      <c r="J32" s="36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</row>
    <row r="33" customFormat="false" ht="20.1" hidden="false" customHeight="true" outlineLevel="0" collapsed="false">
      <c r="A33" s="34"/>
      <c r="B33" s="29"/>
      <c r="C33" s="29"/>
      <c r="D33" s="30" t="n">
        <v>2</v>
      </c>
      <c r="E33" s="30" t="n">
        <v>2110</v>
      </c>
      <c r="F33" s="29" t="n">
        <v>170</v>
      </c>
      <c r="G33" s="29" t="n">
        <v>30</v>
      </c>
      <c r="H33" s="31" t="n">
        <f aca="false">G33*F33*E33*D33/1000000000</f>
        <v>0.021522</v>
      </c>
      <c r="I33" s="32" t="s">
        <v>38</v>
      </c>
      <c r="J33" s="36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</row>
    <row r="34" customFormat="false" ht="20.1" hidden="false" customHeight="true" outlineLevel="0" collapsed="false">
      <c r="A34" s="34"/>
      <c r="B34" s="29"/>
      <c r="C34" s="29"/>
      <c r="D34" s="30" t="n">
        <v>4</v>
      </c>
      <c r="E34" s="30" t="n">
        <v>2110</v>
      </c>
      <c r="F34" s="29" t="n">
        <v>170</v>
      </c>
      <c r="G34" s="29" t="n">
        <v>30</v>
      </c>
      <c r="H34" s="31" t="n">
        <f aca="false">G34*F34*E34*D34/1000000000</f>
        <v>0.043044</v>
      </c>
      <c r="I34" s="32" t="s">
        <v>36</v>
      </c>
      <c r="J34" s="36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</row>
    <row r="35" customFormat="false" ht="20.1" hidden="false" customHeight="true" outlineLevel="0" collapsed="false">
      <c r="A35" s="34"/>
      <c r="B35" s="29"/>
      <c r="C35" s="29"/>
      <c r="D35" s="30" t="n">
        <v>2</v>
      </c>
      <c r="E35" s="30" t="n">
        <v>2110</v>
      </c>
      <c r="F35" s="29" t="n">
        <v>190</v>
      </c>
      <c r="G35" s="29" t="n">
        <v>30</v>
      </c>
      <c r="H35" s="31" t="n">
        <f aca="false">G35*F35*E35*D35/1000000000</f>
        <v>0.024054</v>
      </c>
      <c r="I35" s="32" t="s">
        <v>36</v>
      </c>
      <c r="J35" s="36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</row>
    <row r="36" customFormat="false" ht="20.1" hidden="false" customHeight="true" outlineLevel="0" collapsed="false">
      <c r="A36" s="34"/>
      <c r="B36" s="29"/>
      <c r="C36" s="29"/>
      <c r="D36" s="30" t="n">
        <v>5</v>
      </c>
      <c r="E36" s="30" t="n">
        <v>2110</v>
      </c>
      <c r="F36" s="29" t="n">
        <v>190</v>
      </c>
      <c r="G36" s="29" t="n">
        <v>30</v>
      </c>
      <c r="H36" s="31" t="n">
        <f aca="false">G36*F36*E36*D36/1000000000</f>
        <v>0.060135</v>
      </c>
      <c r="I36" s="32" t="s">
        <v>38</v>
      </c>
      <c r="J36" s="36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</row>
    <row r="37" customFormat="false" ht="20.1" hidden="false" customHeight="true" outlineLevel="0" collapsed="false">
      <c r="A37" s="34"/>
      <c r="B37" s="29"/>
      <c r="C37" s="29"/>
      <c r="D37" s="30" t="n">
        <v>8</v>
      </c>
      <c r="E37" s="30" t="n">
        <v>2110</v>
      </c>
      <c r="F37" s="29" t="n">
        <v>90</v>
      </c>
      <c r="G37" s="29" t="n">
        <v>30</v>
      </c>
      <c r="H37" s="31" t="n">
        <f aca="false">G37*F37*E37*D37/1000000000</f>
        <v>0.045576</v>
      </c>
      <c r="I37" s="32" t="s">
        <v>39</v>
      </c>
      <c r="J37" s="36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</row>
    <row r="38" customFormat="false" ht="20.1" hidden="false" customHeight="true" outlineLevel="0" collapsed="false">
      <c r="A38" s="34"/>
      <c r="B38" s="29"/>
      <c r="C38" s="29"/>
      <c r="D38" s="30" t="n">
        <v>34</v>
      </c>
      <c r="E38" s="30" t="n">
        <v>2110</v>
      </c>
      <c r="F38" s="29" t="n">
        <v>110</v>
      </c>
      <c r="G38" s="29" t="n">
        <v>30</v>
      </c>
      <c r="H38" s="31" t="n">
        <f aca="false">G38*F38*E38*D38/1000000000</f>
        <v>0.236742</v>
      </c>
      <c r="I38" s="32" t="s">
        <v>39</v>
      </c>
      <c r="J38" s="36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</row>
    <row r="39" customFormat="false" ht="20.1" hidden="false" customHeight="true" outlineLevel="0" collapsed="false">
      <c r="A39" s="34"/>
      <c r="B39" s="29"/>
      <c r="C39" s="29"/>
      <c r="D39" s="30" t="n">
        <v>52</v>
      </c>
      <c r="E39" s="30" t="n">
        <v>2110</v>
      </c>
      <c r="F39" s="29" t="n">
        <v>130</v>
      </c>
      <c r="G39" s="29" t="n">
        <v>30</v>
      </c>
      <c r="H39" s="31" t="n">
        <f aca="false">G39*F39*E39*D39/1000000000</f>
        <v>0.427908</v>
      </c>
      <c r="I39" s="32" t="s">
        <v>39</v>
      </c>
      <c r="J39" s="36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</row>
    <row r="40" customFormat="false" ht="20.1" hidden="false" customHeight="true" outlineLevel="0" collapsed="false">
      <c r="A40" s="34"/>
      <c r="B40" s="29"/>
      <c r="C40" s="29"/>
      <c r="D40" s="30" t="n">
        <v>7</v>
      </c>
      <c r="E40" s="30" t="n">
        <v>2110</v>
      </c>
      <c r="F40" s="29" t="n">
        <v>150</v>
      </c>
      <c r="G40" s="29" t="n">
        <v>30</v>
      </c>
      <c r="H40" s="31" t="n">
        <f aca="false">G40*F40*E40*D40/1000000000</f>
        <v>0.066465</v>
      </c>
      <c r="I40" s="32" t="s">
        <v>39</v>
      </c>
      <c r="J40" s="36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</row>
    <row r="41" customFormat="false" ht="20.1" hidden="false" customHeight="true" outlineLevel="0" collapsed="false">
      <c r="A41" s="34"/>
      <c r="B41" s="29"/>
      <c r="C41" s="29"/>
      <c r="D41" s="30" t="n">
        <v>5</v>
      </c>
      <c r="E41" s="30" t="n">
        <v>2110</v>
      </c>
      <c r="F41" s="29" t="n">
        <v>150</v>
      </c>
      <c r="G41" s="29" t="n">
        <v>30</v>
      </c>
      <c r="H41" s="31" t="n">
        <f aca="false">G41*F41*E41*D41/1000000000</f>
        <v>0.047475</v>
      </c>
      <c r="I41" s="32" t="s">
        <v>40</v>
      </c>
      <c r="J41" s="3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</row>
    <row r="42" customFormat="false" ht="20.1" hidden="false" customHeight="true" outlineLevel="0" collapsed="false">
      <c r="A42" s="34"/>
      <c r="B42" s="29"/>
      <c r="C42" s="29"/>
      <c r="D42" s="30" t="n">
        <v>2</v>
      </c>
      <c r="E42" s="30" t="n">
        <v>2110</v>
      </c>
      <c r="F42" s="29" t="n">
        <v>170</v>
      </c>
      <c r="G42" s="29" t="n">
        <v>30</v>
      </c>
      <c r="H42" s="31" t="n">
        <f aca="false">G42*F42*E42*D42/1000000000</f>
        <v>0.021522</v>
      </c>
      <c r="I42" s="32" t="s">
        <v>40</v>
      </c>
      <c r="J42" s="36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</row>
    <row r="43" customFormat="false" ht="20.1" hidden="false" customHeight="true" outlineLevel="0" collapsed="false">
      <c r="A43" s="34"/>
      <c r="B43" s="29"/>
      <c r="C43" s="29"/>
      <c r="D43" s="30" t="n">
        <v>4</v>
      </c>
      <c r="E43" s="30" t="n">
        <v>2110</v>
      </c>
      <c r="F43" s="29" t="n">
        <v>170</v>
      </c>
      <c r="G43" s="29" t="n">
        <v>30</v>
      </c>
      <c r="H43" s="31" t="n">
        <f aca="false">G43*F43*E43*D43/1000000000</f>
        <v>0.043044</v>
      </c>
      <c r="I43" s="32" t="s">
        <v>39</v>
      </c>
      <c r="J43" s="36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</row>
    <row r="44" customFormat="false" ht="20.1" hidden="false" customHeight="true" outlineLevel="0" collapsed="false">
      <c r="A44" s="34"/>
      <c r="B44" s="29"/>
      <c r="C44" s="29"/>
      <c r="D44" s="30" t="n">
        <v>2</v>
      </c>
      <c r="E44" s="30" t="n">
        <v>2110</v>
      </c>
      <c r="F44" s="29" t="n">
        <v>190</v>
      </c>
      <c r="G44" s="29" t="n">
        <v>30</v>
      </c>
      <c r="H44" s="31" t="n">
        <f aca="false">G44*F44*E44*D44/1000000000</f>
        <v>0.024054</v>
      </c>
      <c r="I44" s="32" t="s">
        <v>39</v>
      </c>
      <c r="J44" s="36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</row>
    <row r="45" customFormat="false" ht="20.1" hidden="false" customHeight="true" outlineLevel="0" collapsed="false">
      <c r="A45" s="34"/>
      <c r="B45" s="29"/>
      <c r="C45" s="29"/>
      <c r="D45" s="30" t="n">
        <v>5</v>
      </c>
      <c r="E45" s="30" t="n">
        <v>2110</v>
      </c>
      <c r="F45" s="29" t="n">
        <v>190</v>
      </c>
      <c r="G45" s="29" t="n">
        <v>30</v>
      </c>
      <c r="H45" s="31" t="n">
        <f aca="false">G45*F45*E45*D45/1000000000</f>
        <v>0.060135</v>
      </c>
      <c r="I45" s="32" t="s">
        <v>40</v>
      </c>
      <c r="J45" s="36"/>
    </row>
    <row r="46" customFormat="false" ht="20.1" hidden="false" customHeight="true" outlineLevel="0" collapsed="false">
      <c r="A46" s="34" t="n">
        <v>10</v>
      </c>
      <c r="B46" s="29" t="n">
        <v>25948</v>
      </c>
      <c r="C46" s="29"/>
      <c r="D46" s="30" t="n">
        <v>4</v>
      </c>
      <c r="E46" s="29" t="n">
        <v>2110</v>
      </c>
      <c r="F46" s="29" t="n">
        <v>90</v>
      </c>
      <c r="G46" s="29" t="n">
        <v>30</v>
      </c>
      <c r="H46" s="31" t="n">
        <f aca="false">G46*F46*E46*D46/1000000000</f>
        <v>0.022788</v>
      </c>
      <c r="I46" s="32" t="s">
        <v>41</v>
      </c>
      <c r="J46" s="36"/>
    </row>
    <row r="47" customFormat="false" ht="20.1" hidden="false" customHeight="true" outlineLevel="0" collapsed="false">
      <c r="A47" s="34"/>
      <c r="B47" s="29"/>
      <c r="C47" s="29"/>
      <c r="D47" s="30" t="n">
        <v>37</v>
      </c>
      <c r="E47" s="30" t="n">
        <v>2110</v>
      </c>
      <c r="F47" s="29" t="n">
        <v>110</v>
      </c>
      <c r="G47" s="29" t="n">
        <v>30</v>
      </c>
      <c r="H47" s="31" t="n">
        <f aca="false">G47*F47*E47*D47/1000000000</f>
        <v>0.257631</v>
      </c>
      <c r="I47" s="32" t="s">
        <v>41</v>
      </c>
      <c r="J47" s="36"/>
    </row>
    <row r="48" customFormat="false" ht="20.1" hidden="false" customHeight="true" outlineLevel="0" collapsed="false">
      <c r="A48" s="34"/>
      <c r="B48" s="29"/>
      <c r="C48" s="29"/>
      <c r="D48" s="30" t="n">
        <v>49</v>
      </c>
      <c r="E48" s="29" t="n">
        <v>2110</v>
      </c>
      <c r="F48" s="29" t="n">
        <v>130</v>
      </c>
      <c r="G48" s="29" t="n">
        <v>30</v>
      </c>
      <c r="H48" s="31" t="n">
        <f aca="false">G48*F48*E48*D48/1000000000</f>
        <v>0.403221</v>
      </c>
      <c r="I48" s="32" t="s">
        <v>41</v>
      </c>
      <c r="J48" s="36"/>
    </row>
    <row r="49" customFormat="false" ht="20.1" hidden="false" customHeight="true" outlineLevel="0" collapsed="false">
      <c r="A49" s="34"/>
      <c r="B49" s="29"/>
      <c r="C49" s="29"/>
      <c r="D49" s="30" t="n">
        <v>7</v>
      </c>
      <c r="E49" s="30" t="n">
        <v>2110</v>
      </c>
      <c r="F49" s="29" t="n">
        <v>150</v>
      </c>
      <c r="G49" s="29" t="n">
        <v>30</v>
      </c>
      <c r="H49" s="31" t="n">
        <f aca="false">G49*F49*E49*D49/1000000000</f>
        <v>0.066465</v>
      </c>
      <c r="I49" s="32" t="s">
        <v>41</v>
      </c>
      <c r="J49" s="36"/>
    </row>
    <row r="50" customFormat="false" ht="20.1" hidden="false" customHeight="true" outlineLevel="0" collapsed="false">
      <c r="A50" s="34"/>
      <c r="B50" s="29"/>
      <c r="C50" s="29"/>
      <c r="D50" s="30" t="n">
        <v>2</v>
      </c>
      <c r="E50" s="29" t="n">
        <v>2110</v>
      </c>
      <c r="F50" s="30" t="n">
        <v>150</v>
      </c>
      <c r="G50" s="29" t="n">
        <v>30</v>
      </c>
      <c r="H50" s="31" t="n">
        <f aca="false">G50*F50*E50*D50/1000000000</f>
        <v>0.01899</v>
      </c>
      <c r="I50" s="32" t="s">
        <v>42</v>
      </c>
      <c r="J50" s="36"/>
    </row>
    <row r="51" customFormat="false" ht="20.1" hidden="false" customHeight="true" outlineLevel="0" collapsed="false">
      <c r="A51" s="34"/>
      <c r="B51" s="29"/>
      <c r="C51" s="29"/>
      <c r="D51" s="30" t="n">
        <v>4</v>
      </c>
      <c r="E51" s="30" t="n">
        <v>2110</v>
      </c>
      <c r="F51" s="30" t="n">
        <v>170</v>
      </c>
      <c r="G51" s="29" t="n">
        <v>30</v>
      </c>
      <c r="H51" s="31" t="n">
        <f aca="false">G51*F51*E51*D51/1000000000</f>
        <v>0.043044</v>
      </c>
      <c r="I51" s="32" t="s">
        <v>42</v>
      </c>
      <c r="J51" s="36"/>
    </row>
    <row r="52" customFormat="false" ht="20.1" hidden="false" customHeight="true" outlineLevel="0" collapsed="false">
      <c r="A52" s="34"/>
      <c r="B52" s="29"/>
      <c r="C52" s="29"/>
      <c r="D52" s="30" t="n">
        <v>2</v>
      </c>
      <c r="E52" s="30" t="n">
        <v>2110</v>
      </c>
      <c r="F52" s="30" t="n">
        <v>170</v>
      </c>
      <c r="G52" s="29" t="n">
        <v>30</v>
      </c>
      <c r="H52" s="38" t="n">
        <f aca="false">G52*F52*E52*D52/1000000000</f>
        <v>0.021522</v>
      </c>
      <c r="I52" s="32" t="s">
        <v>41</v>
      </c>
      <c r="J52" s="36"/>
    </row>
    <row r="53" customFormat="false" ht="20.1" hidden="false" customHeight="true" outlineLevel="0" collapsed="false">
      <c r="A53" s="34"/>
      <c r="B53" s="29"/>
      <c r="C53" s="29"/>
      <c r="D53" s="30" t="n">
        <v>3</v>
      </c>
      <c r="E53" s="30" t="n">
        <v>2110</v>
      </c>
      <c r="F53" s="30" t="n">
        <v>190</v>
      </c>
      <c r="G53" s="29" t="n">
        <v>30</v>
      </c>
      <c r="H53" s="38" t="n">
        <f aca="false">G53*F53*E53*D53/1000000000</f>
        <v>0.036081</v>
      </c>
      <c r="I53" s="32" t="s">
        <v>41</v>
      </c>
      <c r="J53" s="36"/>
    </row>
    <row r="54" customFormat="false" ht="20.1" hidden="false" customHeight="true" outlineLevel="0" collapsed="false">
      <c r="A54" s="34"/>
      <c r="B54" s="29"/>
      <c r="C54" s="29"/>
      <c r="D54" s="30" t="n">
        <v>6</v>
      </c>
      <c r="E54" s="30" t="n">
        <v>2110</v>
      </c>
      <c r="F54" s="30" t="n">
        <v>190</v>
      </c>
      <c r="G54" s="29" t="n">
        <v>30</v>
      </c>
      <c r="H54" s="38" t="n">
        <f aca="false">G54*F54*E54*D54/1000000000</f>
        <v>0.072162</v>
      </c>
      <c r="I54" s="32" t="s">
        <v>42</v>
      </c>
      <c r="J54" s="36"/>
    </row>
    <row r="55" customFormat="false" ht="20.1" hidden="false" customHeight="true" outlineLevel="0" collapsed="false">
      <c r="A55" s="34"/>
      <c r="B55" s="29"/>
      <c r="C55" s="29"/>
      <c r="D55" s="30" t="n">
        <v>1</v>
      </c>
      <c r="E55" s="30" t="n">
        <v>2110</v>
      </c>
      <c r="F55" s="30" t="n">
        <v>210</v>
      </c>
      <c r="G55" s="29" t="n">
        <v>30</v>
      </c>
      <c r="H55" s="38" t="n">
        <f aca="false">G55*F55*E55*D55/1000000000</f>
        <v>0.013293</v>
      </c>
      <c r="I55" s="32" t="s">
        <v>42</v>
      </c>
      <c r="J55" s="36"/>
    </row>
    <row r="56" customFormat="false" ht="20.1" hidden="false" customHeight="true" outlineLevel="0" collapsed="false">
      <c r="A56" s="34"/>
      <c r="B56" s="29"/>
      <c r="C56" s="29"/>
      <c r="D56" s="30" t="n">
        <v>4</v>
      </c>
      <c r="E56" s="30" t="n">
        <v>2110</v>
      </c>
      <c r="F56" s="30" t="n">
        <v>90</v>
      </c>
      <c r="G56" s="29" t="n">
        <v>30</v>
      </c>
      <c r="H56" s="38" t="n">
        <f aca="false">G56*F56*E56*D56/1000000000</f>
        <v>0.022788</v>
      </c>
      <c r="I56" s="39" t="s">
        <v>43</v>
      </c>
      <c r="J56" s="36"/>
    </row>
    <row r="57" customFormat="false" ht="20.1" hidden="false" customHeight="true" outlineLevel="0" collapsed="false">
      <c r="A57" s="34"/>
      <c r="B57" s="29"/>
      <c r="C57" s="29"/>
      <c r="D57" s="30" t="n">
        <v>37</v>
      </c>
      <c r="E57" s="30" t="n">
        <v>2110</v>
      </c>
      <c r="F57" s="30" t="n">
        <v>110</v>
      </c>
      <c r="G57" s="29" t="n">
        <v>30</v>
      </c>
      <c r="H57" s="38" t="n">
        <f aca="false">G57*F57*E57*D57/1000000000</f>
        <v>0.257631</v>
      </c>
      <c r="I57" s="39" t="s">
        <v>43</v>
      </c>
      <c r="J57" s="36"/>
    </row>
    <row r="58" customFormat="false" ht="20.1" hidden="false" customHeight="true" outlineLevel="0" collapsed="false">
      <c r="A58" s="34"/>
      <c r="B58" s="29"/>
      <c r="C58" s="29"/>
      <c r="D58" s="30" t="n">
        <v>49</v>
      </c>
      <c r="E58" s="30" t="n">
        <v>2110</v>
      </c>
      <c r="F58" s="30" t="n">
        <v>130</v>
      </c>
      <c r="G58" s="29" t="n">
        <v>30</v>
      </c>
      <c r="H58" s="38" t="n">
        <f aca="false">G58*F58*E58*D58/1000000000</f>
        <v>0.403221</v>
      </c>
      <c r="I58" s="39" t="s">
        <v>43</v>
      </c>
      <c r="J58" s="36"/>
    </row>
    <row r="59" customFormat="false" ht="20.1" hidden="false" customHeight="true" outlineLevel="0" collapsed="false">
      <c r="A59" s="34"/>
      <c r="B59" s="29"/>
      <c r="C59" s="29"/>
      <c r="D59" s="30" t="n">
        <v>7</v>
      </c>
      <c r="E59" s="30" t="n">
        <v>2110</v>
      </c>
      <c r="F59" s="30" t="n">
        <v>150</v>
      </c>
      <c r="G59" s="29" t="n">
        <v>30</v>
      </c>
      <c r="H59" s="38" t="n">
        <f aca="false">G59*F59*E59*D59/1000000000</f>
        <v>0.066465</v>
      </c>
      <c r="I59" s="39" t="s">
        <v>43</v>
      </c>
      <c r="J59" s="36"/>
    </row>
    <row r="60" customFormat="false" ht="20.1" hidden="false" customHeight="true" outlineLevel="0" collapsed="false">
      <c r="A60" s="34"/>
      <c r="B60" s="29"/>
      <c r="C60" s="29"/>
      <c r="D60" s="30" t="n">
        <v>2</v>
      </c>
      <c r="E60" s="30" t="n">
        <v>2110</v>
      </c>
      <c r="F60" s="30" t="n">
        <v>150</v>
      </c>
      <c r="G60" s="30" t="n">
        <v>30</v>
      </c>
      <c r="H60" s="38" t="n">
        <f aca="false">G60*F60*E60*D60/1000000000</f>
        <v>0.01899</v>
      </c>
      <c r="I60" s="39" t="s">
        <v>44</v>
      </c>
      <c r="J60" s="36"/>
    </row>
    <row r="61" customFormat="false" ht="20.1" hidden="false" customHeight="true" outlineLevel="0" collapsed="false">
      <c r="A61" s="34"/>
      <c r="B61" s="29"/>
      <c r="C61" s="29"/>
      <c r="D61" s="30" t="n">
        <v>4</v>
      </c>
      <c r="E61" s="30" t="n">
        <v>2110</v>
      </c>
      <c r="F61" s="30" t="n">
        <v>170</v>
      </c>
      <c r="G61" s="30" t="n">
        <v>30</v>
      </c>
      <c r="H61" s="38" t="n">
        <f aca="false">G61*F61*E61*D61/1000000000</f>
        <v>0.043044</v>
      </c>
      <c r="I61" s="39" t="s">
        <v>44</v>
      </c>
      <c r="J61" s="36"/>
    </row>
    <row r="62" customFormat="false" ht="20.1" hidden="false" customHeight="true" outlineLevel="0" collapsed="false">
      <c r="A62" s="34"/>
      <c r="B62" s="29"/>
      <c r="C62" s="29"/>
      <c r="D62" s="30" t="n">
        <v>2</v>
      </c>
      <c r="E62" s="30" t="n">
        <v>2110</v>
      </c>
      <c r="F62" s="30" t="n">
        <v>170</v>
      </c>
      <c r="G62" s="30" t="n">
        <v>30</v>
      </c>
      <c r="H62" s="38" t="n">
        <f aca="false">G62*F62*E62*D62/1000000000</f>
        <v>0.021522</v>
      </c>
      <c r="I62" s="39" t="s">
        <v>43</v>
      </c>
      <c r="J62" s="36"/>
    </row>
    <row r="63" customFormat="false" ht="20.1" hidden="false" customHeight="true" outlineLevel="0" collapsed="false">
      <c r="A63" s="34"/>
      <c r="B63" s="29"/>
      <c r="C63" s="29"/>
      <c r="D63" s="30" t="n">
        <v>3</v>
      </c>
      <c r="E63" s="30" t="n">
        <v>2110</v>
      </c>
      <c r="F63" s="30" t="n">
        <v>190</v>
      </c>
      <c r="G63" s="30" t="n">
        <v>30</v>
      </c>
      <c r="H63" s="38" t="n">
        <f aca="false">G63*F63*E63*D63/1000000000</f>
        <v>0.036081</v>
      </c>
      <c r="I63" s="39" t="s">
        <v>43</v>
      </c>
      <c r="J63" s="36"/>
    </row>
    <row r="64" customFormat="false" ht="20.1" hidden="false" customHeight="true" outlineLevel="0" collapsed="false">
      <c r="A64" s="34"/>
      <c r="B64" s="29"/>
      <c r="C64" s="29"/>
      <c r="D64" s="30" t="n">
        <v>6</v>
      </c>
      <c r="E64" s="30" t="n">
        <v>2110</v>
      </c>
      <c r="F64" s="30" t="n">
        <v>190</v>
      </c>
      <c r="G64" s="30" t="n">
        <v>30</v>
      </c>
      <c r="H64" s="38" t="n">
        <f aca="false">G64*F64*E64*D64/1000000000</f>
        <v>0.072162</v>
      </c>
      <c r="I64" s="39" t="s">
        <v>44</v>
      </c>
      <c r="J64" s="36"/>
    </row>
    <row r="65" customFormat="false" ht="20.1" hidden="false" customHeight="true" outlineLevel="0" collapsed="false">
      <c r="A65" s="34"/>
      <c r="B65" s="29"/>
      <c r="C65" s="29"/>
      <c r="D65" s="30" t="n">
        <v>1</v>
      </c>
      <c r="E65" s="30" t="n">
        <v>2110</v>
      </c>
      <c r="F65" s="30" t="n">
        <v>210</v>
      </c>
      <c r="G65" s="30" t="n">
        <v>30</v>
      </c>
      <c r="H65" s="38" t="n">
        <f aca="false">G65*F65*E65*D65/1000000000</f>
        <v>0.013293</v>
      </c>
      <c r="I65" s="39" t="s">
        <v>44</v>
      </c>
      <c r="J65" s="36"/>
    </row>
    <row r="66" customFormat="false" ht="20.1" hidden="false" customHeight="true" outlineLevel="0" collapsed="false">
      <c r="A66" s="34" t="n">
        <v>11</v>
      </c>
      <c r="B66" s="29" t="n">
        <v>25948</v>
      </c>
      <c r="C66" s="29"/>
      <c r="D66" s="30" t="n">
        <v>38</v>
      </c>
      <c r="E66" s="30" t="n">
        <v>647</v>
      </c>
      <c r="F66" s="30" t="n">
        <v>110</v>
      </c>
      <c r="G66" s="30" t="n">
        <v>30</v>
      </c>
      <c r="H66" s="38" t="n">
        <f aca="false">G66*F66*E66*D66/1000000000</f>
        <v>0.0811338</v>
      </c>
      <c r="I66" s="39" t="s">
        <v>45</v>
      </c>
      <c r="J66" s="36"/>
    </row>
    <row r="67" customFormat="false" ht="20.1" hidden="false" customHeight="true" outlineLevel="0" collapsed="false">
      <c r="A67" s="34"/>
      <c r="B67" s="29"/>
      <c r="C67" s="29"/>
      <c r="D67" s="30" t="n">
        <v>71</v>
      </c>
      <c r="E67" s="30" t="n">
        <v>647</v>
      </c>
      <c r="F67" s="30" t="n">
        <v>130</v>
      </c>
      <c r="G67" s="30" t="n">
        <v>30</v>
      </c>
      <c r="H67" s="38" t="n">
        <f aca="false">G67*F67*E67*D67/1000000000</f>
        <v>0.1791543</v>
      </c>
      <c r="I67" s="39" t="s">
        <v>45</v>
      </c>
      <c r="J67" s="36"/>
    </row>
    <row r="68" customFormat="false" ht="20.1" hidden="false" customHeight="true" outlineLevel="0" collapsed="false">
      <c r="A68" s="34"/>
      <c r="B68" s="29"/>
      <c r="C68" s="29"/>
      <c r="D68" s="30" t="n">
        <v>14</v>
      </c>
      <c r="E68" s="30" t="n">
        <v>647</v>
      </c>
      <c r="F68" s="30" t="n">
        <v>150</v>
      </c>
      <c r="G68" s="30" t="n">
        <v>30</v>
      </c>
      <c r="H68" s="38" t="n">
        <f aca="false">G68*F68*E68*D68/1000000000</f>
        <v>0.040761</v>
      </c>
      <c r="I68" s="39" t="s">
        <v>45</v>
      </c>
      <c r="J68" s="36"/>
    </row>
    <row r="69" customFormat="false" ht="20.1" hidden="false" customHeight="true" outlineLevel="0" collapsed="false">
      <c r="A69" s="34"/>
      <c r="B69" s="29"/>
      <c r="C69" s="29"/>
      <c r="D69" s="30" t="n">
        <v>2</v>
      </c>
      <c r="E69" s="30" t="n">
        <v>647</v>
      </c>
      <c r="F69" s="30" t="n">
        <v>170</v>
      </c>
      <c r="G69" s="30" t="n">
        <v>30</v>
      </c>
      <c r="H69" s="38" t="n">
        <f aca="false">G69*F69*E69*D69/1000000000</f>
        <v>0.0065994</v>
      </c>
      <c r="I69" s="39" t="s">
        <v>45</v>
      </c>
      <c r="J69" s="36"/>
    </row>
    <row r="70" customFormat="false" ht="20.1" hidden="false" customHeight="true" outlineLevel="0" collapsed="false">
      <c r="A70" s="34"/>
      <c r="B70" s="29"/>
      <c r="C70" s="29"/>
      <c r="D70" s="30" t="n">
        <v>12</v>
      </c>
      <c r="E70" s="30" t="n">
        <v>747</v>
      </c>
      <c r="F70" s="30" t="n">
        <v>90</v>
      </c>
      <c r="G70" s="30" t="n">
        <v>30</v>
      </c>
      <c r="H70" s="38" t="n">
        <f aca="false">G70*F70*E70*D70/1000000000</f>
        <v>0.0242028</v>
      </c>
      <c r="I70" s="39" t="s">
        <v>45</v>
      </c>
      <c r="J70" s="36"/>
    </row>
    <row r="71" customFormat="false" ht="20.1" hidden="false" customHeight="true" outlineLevel="0" collapsed="false">
      <c r="A71" s="34"/>
      <c r="B71" s="29"/>
      <c r="C71" s="29"/>
      <c r="D71" s="30" t="n">
        <v>33</v>
      </c>
      <c r="E71" s="30" t="n">
        <v>747</v>
      </c>
      <c r="F71" s="30" t="n">
        <v>110</v>
      </c>
      <c r="G71" s="30" t="n">
        <v>30</v>
      </c>
      <c r="H71" s="38" t="n">
        <f aca="false">G71*F71*E71*D71/1000000000</f>
        <v>0.0813483</v>
      </c>
      <c r="I71" s="39" t="s">
        <v>45</v>
      </c>
      <c r="J71" s="36"/>
    </row>
    <row r="72" customFormat="false" ht="20.1" hidden="false" customHeight="true" outlineLevel="0" collapsed="false">
      <c r="A72" s="34"/>
      <c r="B72" s="29"/>
      <c r="C72" s="29"/>
      <c r="D72" s="30" t="n">
        <v>28</v>
      </c>
      <c r="E72" s="30" t="n">
        <v>747</v>
      </c>
      <c r="F72" s="30" t="n">
        <v>130</v>
      </c>
      <c r="G72" s="30" t="n">
        <v>30</v>
      </c>
      <c r="H72" s="38" t="n">
        <f aca="false">G72*F72*E72*D72/1000000000</f>
        <v>0.0815724</v>
      </c>
      <c r="I72" s="39" t="s">
        <v>45</v>
      </c>
      <c r="J72" s="36"/>
    </row>
    <row r="73" customFormat="false" ht="20.1" hidden="false" customHeight="true" outlineLevel="0" collapsed="false">
      <c r="A73" s="34"/>
      <c r="B73" s="29"/>
      <c r="C73" s="29"/>
      <c r="D73" s="30" t="n">
        <v>7</v>
      </c>
      <c r="E73" s="30" t="n">
        <v>847</v>
      </c>
      <c r="F73" s="30" t="n">
        <v>150</v>
      </c>
      <c r="G73" s="30" t="n">
        <v>30</v>
      </c>
      <c r="H73" s="38" t="n">
        <f aca="false">G73*F73*E73*D73/1000000000</f>
        <v>0.0266805</v>
      </c>
      <c r="I73" s="39" t="s">
        <v>45</v>
      </c>
      <c r="J73" s="36"/>
    </row>
    <row r="74" customFormat="false" ht="20.1" hidden="false" customHeight="true" outlineLevel="0" collapsed="false">
      <c r="A74" s="34"/>
      <c r="B74" s="29"/>
      <c r="C74" s="29"/>
      <c r="D74" s="30" t="n">
        <v>6</v>
      </c>
      <c r="E74" s="30" t="n">
        <v>847</v>
      </c>
      <c r="F74" s="30" t="n">
        <v>170</v>
      </c>
      <c r="G74" s="30" t="n">
        <v>30</v>
      </c>
      <c r="H74" s="38" t="n">
        <f aca="false">G74*F74*E74*D74/1000000000</f>
        <v>0.0259182</v>
      </c>
      <c r="I74" s="39" t="s">
        <v>45</v>
      </c>
      <c r="J74" s="36"/>
    </row>
    <row r="75" customFormat="false" ht="20.1" hidden="false" customHeight="true" outlineLevel="0" collapsed="false">
      <c r="A75" s="34"/>
      <c r="B75" s="29"/>
      <c r="C75" s="29"/>
      <c r="D75" s="30" t="n">
        <v>11</v>
      </c>
      <c r="E75" s="30" t="n">
        <v>847</v>
      </c>
      <c r="F75" s="30" t="n">
        <v>190</v>
      </c>
      <c r="G75" s="30" t="n">
        <v>30</v>
      </c>
      <c r="H75" s="38" t="n">
        <f aca="false">G75*F75*E75*D75/1000000000</f>
        <v>0.0531069</v>
      </c>
      <c r="I75" s="39" t="s">
        <v>45</v>
      </c>
      <c r="J75" s="36"/>
    </row>
    <row r="76" customFormat="false" ht="20.1" hidden="false" customHeight="true" outlineLevel="0" collapsed="false">
      <c r="A76" s="34"/>
      <c r="B76" s="29"/>
      <c r="C76" s="29"/>
      <c r="D76" s="30" t="n">
        <v>1</v>
      </c>
      <c r="E76" s="30" t="n">
        <v>847</v>
      </c>
      <c r="F76" s="30" t="n">
        <v>210</v>
      </c>
      <c r="G76" s="30" t="n">
        <v>30</v>
      </c>
      <c r="H76" s="38" t="n">
        <f aca="false">G76*F76*E76*D76/1000000000</f>
        <v>0.0053361</v>
      </c>
      <c r="I76" s="39" t="s">
        <v>45</v>
      </c>
      <c r="J76" s="36"/>
    </row>
    <row r="77" customFormat="false" ht="20.1" hidden="false" customHeight="true" outlineLevel="0" collapsed="false">
      <c r="A77" s="34"/>
      <c r="B77" s="29"/>
      <c r="C77" s="29"/>
      <c r="D77" s="30" t="n">
        <v>2</v>
      </c>
      <c r="E77" s="30" t="n">
        <v>847</v>
      </c>
      <c r="F77" s="30" t="n">
        <v>130</v>
      </c>
      <c r="G77" s="30" t="n">
        <v>30</v>
      </c>
      <c r="H77" s="38" t="n">
        <f aca="false">G77*F77*E77*D77/1000000000</f>
        <v>0.0066066</v>
      </c>
      <c r="I77" s="39" t="s">
        <v>45</v>
      </c>
      <c r="J77" s="36"/>
    </row>
    <row r="78" customFormat="false" ht="20.1" hidden="false" customHeight="true" outlineLevel="0" collapsed="false">
      <c r="A78" s="34"/>
      <c r="B78" s="29"/>
      <c r="C78" s="29"/>
      <c r="D78" s="30" t="n">
        <v>4</v>
      </c>
      <c r="E78" s="30" t="n">
        <v>847</v>
      </c>
      <c r="F78" s="30" t="n">
        <v>170</v>
      </c>
      <c r="G78" s="30" t="n">
        <v>30</v>
      </c>
      <c r="H78" s="38" t="n">
        <f aca="false">G78*F78*E78*D78/1000000000</f>
        <v>0.0172788</v>
      </c>
      <c r="I78" s="39" t="s">
        <v>45</v>
      </c>
      <c r="J78" s="36"/>
    </row>
    <row r="79" customFormat="false" ht="20.1" hidden="false" customHeight="true" outlineLevel="0" collapsed="false">
      <c r="A79" s="34"/>
      <c r="B79" s="29"/>
      <c r="C79" s="29"/>
      <c r="D79" s="30" t="n">
        <v>5</v>
      </c>
      <c r="E79" s="30" t="n">
        <v>847</v>
      </c>
      <c r="F79" s="30" t="n">
        <v>190</v>
      </c>
      <c r="G79" s="30" t="n">
        <v>30</v>
      </c>
      <c r="H79" s="38" t="n">
        <f aca="false">G79*F79*E79*D79/1000000000</f>
        <v>0.0241395</v>
      </c>
      <c r="I79" s="39" t="s">
        <v>45</v>
      </c>
      <c r="J79" s="36"/>
    </row>
    <row r="80" customFormat="false" ht="20.1" hidden="false" customHeight="true" outlineLevel="0" collapsed="false">
      <c r="A80" s="34" t="n">
        <v>12</v>
      </c>
      <c r="B80" s="29" t="n">
        <v>25948</v>
      </c>
      <c r="C80" s="29"/>
      <c r="D80" s="30" t="n">
        <v>13</v>
      </c>
      <c r="E80" s="30" t="n">
        <v>2300</v>
      </c>
      <c r="F80" s="30" t="n">
        <v>980</v>
      </c>
      <c r="G80" s="30" t="n">
        <v>41</v>
      </c>
      <c r="H80" s="38" t="n">
        <f aca="false">G80*F80*E80*D80/1000000000</f>
        <v>1.201382</v>
      </c>
      <c r="I80" s="39" t="s">
        <v>46</v>
      </c>
      <c r="J80" s="40" t="s">
        <v>47</v>
      </c>
    </row>
    <row r="81" customFormat="false" ht="20.1" hidden="false" customHeight="true" outlineLevel="0" collapsed="false">
      <c r="A81" s="34"/>
      <c r="B81" s="29"/>
      <c r="C81" s="29"/>
      <c r="D81" s="30" t="n">
        <v>12</v>
      </c>
      <c r="E81" s="30" t="n">
        <v>2300</v>
      </c>
      <c r="F81" s="30" t="n">
        <v>980</v>
      </c>
      <c r="G81" s="30" t="n">
        <v>41</v>
      </c>
      <c r="H81" s="38" t="n">
        <f aca="false">G81*F81*E81*D81/1000000000</f>
        <v>1.108968</v>
      </c>
      <c r="I81" s="39" t="s">
        <v>46</v>
      </c>
      <c r="J81" s="40" t="s">
        <v>48</v>
      </c>
    </row>
    <row r="82" customFormat="false" ht="20.1" hidden="false" customHeight="true" outlineLevel="0" collapsed="false">
      <c r="A82" s="34" t="n">
        <v>13</v>
      </c>
      <c r="B82" s="29" t="n">
        <v>25948</v>
      </c>
      <c r="C82" s="29"/>
      <c r="D82" s="30" t="n">
        <v>9</v>
      </c>
      <c r="E82" s="30" t="n">
        <v>2100</v>
      </c>
      <c r="F82" s="30" t="n">
        <v>920</v>
      </c>
      <c r="G82" s="30" t="n">
        <v>35</v>
      </c>
      <c r="H82" s="38" t="n">
        <f aca="false">G82*F82*E82*D82/1000000000</f>
        <v>0.60858</v>
      </c>
      <c r="I82" s="39" t="s">
        <v>49</v>
      </c>
      <c r="J82" s="40" t="s">
        <v>50</v>
      </c>
    </row>
    <row r="83" customFormat="false" ht="20.1" hidden="false" customHeight="true" outlineLevel="0" collapsed="false">
      <c r="A83" s="34"/>
      <c r="B83" s="29"/>
      <c r="C83" s="29"/>
      <c r="D83" s="30" t="n">
        <v>24</v>
      </c>
      <c r="E83" s="30" t="n">
        <v>2100</v>
      </c>
      <c r="F83" s="30" t="n">
        <v>820</v>
      </c>
      <c r="G83" s="30" t="n">
        <v>35</v>
      </c>
      <c r="H83" s="38" t="n">
        <f aca="false">G83*F83*E83*D83/1000000000</f>
        <v>1.44648</v>
      </c>
      <c r="I83" s="39" t="s">
        <v>49</v>
      </c>
      <c r="J83" s="40" t="s">
        <v>51</v>
      </c>
    </row>
    <row r="84" customFormat="false" ht="20.1" hidden="false" customHeight="true" outlineLevel="0" collapsed="false">
      <c r="A84" s="34" t="n">
        <v>14</v>
      </c>
      <c r="B84" s="29" t="n">
        <v>25948</v>
      </c>
      <c r="C84" s="29" t="n">
        <v>15</v>
      </c>
      <c r="D84" s="30" t="n">
        <v>30</v>
      </c>
      <c r="E84" s="30" t="n">
        <v>2130</v>
      </c>
      <c r="F84" s="30" t="n">
        <v>130</v>
      </c>
      <c r="G84" s="30" t="n">
        <v>30</v>
      </c>
      <c r="H84" s="38" t="n">
        <f aca="false">G84*F84*E84*D84/1000000000</f>
        <v>0.24921</v>
      </c>
      <c r="I84" s="39" t="s">
        <v>52</v>
      </c>
      <c r="J84" s="41" t="s">
        <v>53</v>
      </c>
    </row>
    <row r="85" customFormat="false" ht="20.1" hidden="false" customHeight="true" outlineLevel="0" collapsed="false">
      <c r="A85" s="34"/>
      <c r="B85" s="29"/>
      <c r="C85" s="29"/>
      <c r="D85" s="30" t="n">
        <v>15</v>
      </c>
      <c r="E85" s="30" t="n">
        <v>1100</v>
      </c>
      <c r="F85" s="30" t="n">
        <v>130</v>
      </c>
      <c r="G85" s="30" t="n">
        <v>30</v>
      </c>
      <c r="H85" s="38" t="n">
        <f aca="false">G85*F85*E85*D85/1000000000</f>
        <v>0.06435</v>
      </c>
      <c r="I85" s="39"/>
      <c r="J85" s="41"/>
    </row>
    <row r="86" customFormat="false" ht="20.1" hidden="false" customHeight="true" outlineLevel="0" collapsed="false">
      <c r="A86" s="34"/>
      <c r="B86" s="29"/>
      <c r="C86" s="29" t="n">
        <v>12</v>
      </c>
      <c r="D86" s="30" t="n">
        <v>24</v>
      </c>
      <c r="E86" s="30" t="n">
        <v>2130</v>
      </c>
      <c r="F86" s="30" t="n">
        <v>150</v>
      </c>
      <c r="G86" s="30" t="n">
        <v>30</v>
      </c>
      <c r="H86" s="38" t="n">
        <f aca="false">G86*F86*E86*D86/1000000000</f>
        <v>0.23004</v>
      </c>
      <c r="I86" s="39" t="s">
        <v>52</v>
      </c>
      <c r="J86" s="40" t="s">
        <v>54</v>
      </c>
    </row>
    <row r="87" customFormat="false" ht="20.1" hidden="false" customHeight="true" outlineLevel="0" collapsed="false">
      <c r="A87" s="34"/>
      <c r="B87" s="29"/>
      <c r="C87" s="29"/>
      <c r="D87" s="30" t="n">
        <v>12</v>
      </c>
      <c r="E87" s="30" t="n">
        <v>1100</v>
      </c>
      <c r="F87" s="30" t="n">
        <v>150</v>
      </c>
      <c r="G87" s="30" t="n">
        <v>30</v>
      </c>
      <c r="H87" s="38" t="n">
        <f aca="false">G87*F87*E87*D87/1000000000</f>
        <v>0.0594</v>
      </c>
      <c r="I87" s="39"/>
      <c r="J87" s="40"/>
    </row>
    <row r="88" customFormat="false" ht="20.1" hidden="false" customHeight="true" outlineLevel="0" collapsed="false">
      <c r="A88" s="34"/>
      <c r="B88" s="29"/>
      <c r="C88" s="29" t="n">
        <v>4</v>
      </c>
      <c r="D88" s="30" t="n">
        <v>8</v>
      </c>
      <c r="E88" s="30" t="n">
        <v>2130</v>
      </c>
      <c r="F88" s="30" t="n">
        <v>110</v>
      </c>
      <c r="G88" s="30" t="n">
        <v>30</v>
      </c>
      <c r="H88" s="38" t="n">
        <f aca="false">G88*F88*E88*D88/1000000000</f>
        <v>0.056232</v>
      </c>
      <c r="I88" s="39" t="s">
        <v>52</v>
      </c>
      <c r="J88" s="40" t="s">
        <v>55</v>
      </c>
    </row>
    <row r="89" customFormat="false" ht="20.1" hidden="false" customHeight="true" outlineLevel="0" collapsed="false">
      <c r="A89" s="34"/>
      <c r="B89" s="29"/>
      <c r="C89" s="29"/>
      <c r="D89" s="30" t="n">
        <v>4</v>
      </c>
      <c r="E89" s="30" t="n">
        <v>1100</v>
      </c>
      <c r="F89" s="30" t="n">
        <v>110</v>
      </c>
      <c r="G89" s="30" t="n">
        <v>30</v>
      </c>
      <c r="H89" s="38" t="n">
        <f aca="false">G89*F89*E89*D89/1000000000</f>
        <v>0.01452</v>
      </c>
      <c r="I89" s="39"/>
      <c r="J89" s="40"/>
    </row>
    <row r="90" customFormat="false" ht="20.1" hidden="false" customHeight="true" outlineLevel="0" collapsed="false">
      <c r="A90" s="34"/>
      <c r="B90" s="29"/>
      <c r="C90" s="30" t="n">
        <v>2</v>
      </c>
      <c r="D90" s="30" t="n">
        <v>4</v>
      </c>
      <c r="E90" s="30" t="n">
        <v>2130</v>
      </c>
      <c r="F90" s="30" t="n">
        <v>170</v>
      </c>
      <c r="G90" s="30" t="n">
        <v>30</v>
      </c>
      <c r="H90" s="38" t="n">
        <f aca="false">G90*F90*E90*D90/1000000000</f>
        <v>0.043452</v>
      </c>
      <c r="I90" s="39" t="s">
        <v>52</v>
      </c>
      <c r="J90" s="40" t="s">
        <v>56</v>
      </c>
    </row>
    <row r="91" customFormat="false" ht="20.1" hidden="false" customHeight="true" outlineLevel="0" collapsed="false">
      <c r="A91" s="34"/>
      <c r="B91" s="29"/>
      <c r="C91" s="30"/>
      <c r="D91" s="30" t="n">
        <v>2</v>
      </c>
      <c r="E91" s="30" t="n">
        <v>1100</v>
      </c>
      <c r="F91" s="30" t="n">
        <v>170</v>
      </c>
      <c r="G91" s="30" t="n">
        <v>30</v>
      </c>
      <c r="H91" s="38" t="n">
        <f aca="false">G91*F91*E91*D91/1000000000</f>
        <v>0.01122</v>
      </c>
      <c r="I91" s="39"/>
      <c r="J91" s="40"/>
    </row>
    <row r="92" customFormat="false" ht="20.1" hidden="false" customHeight="true" outlineLevel="0" collapsed="false">
      <c r="A92" s="42" t="n">
        <v>15</v>
      </c>
      <c r="B92" s="30" t="n">
        <v>25948</v>
      </c>
      <c r="C92" s="30" t="n">
        <v>8</v>
      </c>
      <c r="D92" s="30" t="n">
        <v>16</v>
      </c>
      <c r="E92" s="30" t="n">
        <v>2330</v>
      </c>
      <c r="F92" s="30" t="n">
        <v>150</v>
      </c>
      <c r="G92" s="30" t="n">
        <v>30</v>
      </c>
      <c r="H92" s="38" t="n">
        <f aca="false">G92*F92*E92*D92/1000000000</f>
        <v>0.16776</v>
      </c>
      <c r="I92" s="39" t="s">
        <v>57</v>
      </c>
      <c r="J92" s="40" t="s">
        <v>58</v>
      </c>
    </row>
    <row r="93" customFormat="false" ht="20.1" hidden="false" customHeight="true" outlineLevel="0" collapsed="false">
      <c r="A93" s="42"/>
      <c r="B93" s="30"/>
      <c r="C93" s="30"/>
      <c r="D93" s="30" t="n">
        <v>8</v>
      </c>
      <c r="E93" s="30" t="n">
        <v>1100</v>
      </c>
      <c r="F93" s="30" t="n">
        <v>150</v>
      </c>
      <c r="G93" s="30" t="n">
        <v>30</v>
      </c>
      <c r="H93" s="38" t="n">
        <f aca="false">G93*F93*E93*D93/1000000000</f>
        <v>0.0396</v>
      </c>
      <c r="I93" s="39"/>
      <c r="J93" s="40"/>
    </row>
    <row r="94" customFormat="false" ht="20.1" hidden="false" customHeight="true" outlineLevel="0" collapsed="false">
      <c r="A94" s="42"/>
      <c r="B94" s="30"/>
      <c r="C94" s="30" t="n">
        <v>13</v>
      </c>
      <c r="D94" s="30" t="n">
        <v>26</v>
      </c>
      <c r="E94" s="30" t="n">
        <v>2330</v>
      </c>
      <c r="F94" s="30" t="n">
        <v>170</v>
      </c>
      <c r="G94" s="30" t="n">
        <v>30</v>
      </c>
      <c r="H94" s="38" t="n">
        <f aca="false">G94*F94*E94*D94/1000000000</f>
        <v>0.308958</v>
      </c>
      <c r="I94" s="39" t="s">
        <v>57</v>
      </c>
      <c r="J94" s="40" t="s">
        <v>59</v>
      </c>
    </row>
    <row r="95" customFormat="false" ht="20.1" hidden="false" customHeight="true" outlineLevel="0" collapsed="false">
      <c r="A95" s="42"/>
      <c r="B95" s="30"/>
      <c r="C95" s="30"/>
      <c r="D95" s="30" t="n">
        <v>13</v>
      </c>
      <c r="E95" s="30" t="n">
        <v>1100</v>
      </c>
      <c r="F95" s="30" t="n">
        <v>170</v>
      </c>
      <c r="G95" s="30" t="n">
        <v>30</v>
      </c>
      <c r="H95" s="38" t="n">
        <f aca="false">G95*F95*E95*D95/1000000000</f>
        <v>0.07293</v>
      </c>
      <c r="I95" s="39"/>
      <c r="J95" s="40"/>
    </row>
    <row r="96" customFormat="false" ht="20.1" hidden="false" customHeight="true" outlineLevel="0" collapsed="false">
      <c r="A96" s="42"/>
      <c r="B96" s="30"/>
      <c r="C96" s="30" t="n">
        <v>4</v>
      </c>
      <c r="D96" s="30" t="n">
        <v>8</v>
      </c>
      <c r="E96" s="30" t="n">
        <v>2330</v>
      </c>
      <c r="F96" s="30" t="n">
        <v>190</v>
      </c>
      <c r="G96" s="30" t="n">
        <v>30</v>
      </c>
      <c r="H96" s="38" t="n">
        <f aca="false">G96*F96*E96*D96/1000000000</f>
        <v>0.106248</v>
      </c>
      <c r="I96" s="39" t="s">
        <v>57</v>
      </c>
      <c r="J96" s="40" t="s">
        <v>60</v>
      </c>
    </row>
    <row r="97" customFormat="false" ht="20.1" hidden="false" customHeight="true" outlineLevel="0" collapsed="false">
      <c r="A97" s="42"/>
      <c r="B97" s="30"/>
      <c r="C97" s="30"/>
      <c r="D97" s="30" t="n">
        <v>4</v>
      </c>
      <c r="E97" s="30" t="n">
        <v>1100</v>
      </c>
      <c r="F97" s="30" t="n">
        <v>190</v>
      </c>
      <c r="G97" s="30" t="n">
        <v>30</v>
      </c>
      <c r="H97" s="38" t="n">
        <f aca="false">G97*F97*E97*D97/1000000000</f>
        <v>0.02508</v>
      </c>
      <c r="I97" s="39"/>
      <c r="J97" s="40"/>
    </row>
    <row r="98" customFormat="false" ht="20.1" hidden="false" customHeight="true" outlineLevel="0" collapsed="false">
      <c r="A98" s="42"/>
      <c r="B98" s="30"/>
      <c r="C98" s="30"/>
      <c r="D98" s="30" t="n">
        <v>25</v>
      </c>
      <c r="E98" s="30"/>
      <c r="F98" s="30"/>
      <c r="G98" s="30"/>
      <c r="H98" s="38" t="n">
        <f aca="false">G98*F98*E98*D98/1000000000</f>
        <v>0</v>
      </c>
      <c r="I98" s="39" t="s">
        <v>61</v>
      </c>
      <c r="J98" s="40" t="s">
        <v>62</v>
      </c>
    </row>
    <row r="99" customFormat="false" ht="20.1" hidden="false" customHeight="true" outlineLevel="0" collapsed="false">
      <c r="A99" s="42" t="n">
        <v>16</v>
      </c>
      <c r="B99" s="30" t="n">
        <v>25948</v>
      </c>
      <c r="C99" s="30" t="n">
        <v>80</v>
      </c>
      <c r="D99" s="30" t="n">
        <v>160</v>
      </c>
      <c r="E99" s="30" t="n">
        <v>2250</v>
      </c>
      <c r="F99" s="30" t="n">
        <v>100</v>
      </c>
      <c r="G99" s="30" t="n">
        <v>15</v>
      </c>
      <c r="H99" s="38" t="n">
        <f aca="false">G99*F99*E99*D99/1000000000</f>
        <v>0.54</v>
      </c>
      <c r="I99" s="39" t="s">
        <v>63</v>
      </c>
      <c r="J99" s="41" t="s">
        <v>64</v>
      </c>
    </row>
    <row r="100" customFormat="false" ht="20.1" hidden="false" customHeight="true" outlineLevel="0" collapsed="false">
      <c r="A100" s="42"/>
      <c r="B100" s="30"/>
      <c r="C100" s="30"/>
      <c r="D100" s="30" t="n">
        <v>80</v>
      </c>
      <c r="E100" s="30" t="n">
        <v>1100</v>
      </c>
      <c r="F100" s="30" t="n">
        <v>100</v>
      </c>
      <c r="G100" s="30" t="n">
        <v>15</v>
      </c>
      <c r="H100" s="38" t="n">
        <f aca="false">G100*F100*E100*D100/1000000000</f>
        <v>0.132</v>
      </c>
      <c r="I100" s="39"/>
      <c r="J100" s="41"/>
    </row>
    <row r="101" customFormat="false" ht="20.1" hidden="false" customHeight="true" outlineLevel="0" collapsed="false">
      <c r="A101" s="42"/>
      <c r="B101" s="30"/>
      <c r="C101" s="30"/>
      <c r="D101" s="30" t="n">
        <v>160</v>
      </c>
      <c r="E101" s="30" t="n">
        <v>2250</v>
      </c>
      <c r="F101" s="30" t="n">
        <v>100</v>
      </c>
      <c r="G101" s="30" t="n">
        <v>15</v>
      </c>
      <c r="H101" s="38" t="n">
        <f aca="false">G101*F101*E101*D101/1000000000</f>
        <v>0.54</v>
      </c>
      <c r="I101" s="39" t="s">
        <v>65</v>
      </c>
      <c r="J101" s="41"/>
    </row>
    <row r="102" customFormat="false" ht="20.1" hidden="false" customHeight="true" outlineLevel="0" collapsed="false">
      <c r="A102" s="42"/>
      <c r="B102" s="30"/>
      <c r="C102" s="30"/>
      <c r="D102" s="30" t="n">
        <v>80</v>
      </c>
      <c r="E102" s="30" t="n">
        <v>1100</v>
      </c>
      <c r="F102" s="30" t="n">
        <v>100</v>
      </c>
      <c r="G102" s="30" t="n">
        <v>15</v>
      </c>
      <c r="H102" s="38" t="n">
        <f aca="false">G102*F102*E102*D102/1000000000</f>
        <v>0.132</v>
      </c>
      <c r="I102" s="39"/>
      <c r="J102" s="41"/>
    </row>
    <row r="103" customFormat="false" ht="20.1" hidden="false" customHeight="true" outlineLevel="0" collapsed="false">
      <c r="A103" s="42" t="n">
        <v>17</v>
      </c>
      <c r="B103" s="30" t="n">
        <v>25948</v>
      </c>
      <c r="C103" s="30" t="n">
        <v>20</v>
      </c>
      <c r="D103" s="30" t="n">
        <v>40</v>
      </c>
      <c r="E103" s="30" t="n">
        <v>2250</v>
      </c>
      <c r="F103" s="30" t="n">
        <v>100</v>
      </c>
      <c r="G103" s="30" t="n">
        <v>15</v>
      </c>
      <c r="H103" s="38" t="n">
        <f aca="false">G103*F103*E103*D103/1000000000</f>
        <v>0.135</v>
      </c>
      <c r="I103" s="39" t="s">
        <v>63</v>
      </c>
      <c r="J103" s="41"/>
    </row>
    <row r="104" customFormat="false" ht="20.1" hidden="false" customHeight="true" outlineLevel="0" collapsed="false">
      <c r="A104" s="42"/>
      <c r="B104" s="30"/>
      <c r="C104" s="30"/>
      <c r="D104" s="30" t="n">
        <v>20</v>
      </c>
      <c r="E104" s="30" t="n">
        <v>1100</v>
      </c>
      <c r="F104" s="30" t="n">
        <v>100</v>
      </c>
      <c r="G104" s="30" t="n">
        <v>15</v>
      </c>
      <c r="H104" s="38" t="n">
        <f aca="false">G104*F104*E104*D104/1000000000</f>
        <v>0.033</v>
      </c>
      <c r="I104" s="39"/>
      <c r="J104" s="41"/>
    </row>
    <row r="105" customFormat="false" ht="20.1" hidden="false" customHeight="true" outlineLevel="0" collapsed="false">
      <c r="A105" s="42"/>
      <c r="B105" s="30"/>
      <c r="C105" s="30"/>
      <c r="D105" s="30" t="n">
        <v>40</v>
      </c>
      <c r="E105" s="30" t="n">
        <v>2250</v>
      </c>
      <c r="F105" s="30" t="n">
        <v>100</v>
      </c>
      <c r="G105" s="30" t="n">
        <v>15</v>
      </c>
      <c r="H105" s="38" t="n">
        <f aca="false">G105*F105*E105*D105/1000000000</f>
        <v>0.135</v>
      </c>
      <c r="I105" s="43" t="s">
        <v>65</v>
      </c>
      <c r="J105" s="41"/>
    </row>
    <row r="106" customFormat="false" ht="20.1" hidden="false" customHeight="true" outlineLevel="0" collapsed="false">
      <c r="A106" s="42"/>
      <c r="B106" s="30"/>
      <c r="C106" s="30"/>
      <c r="D106" s="30" t="n">
        <v>20</v>
      </c>
      <c r="E106" s="30" t="n">
        <v>1100</v>
      </c>
      <c r="F106" s="30" t="n">
        <v>100</v>
      </c>
      <c r="G106" s="30" t="n">
        <v>15</v>
      </c>
      <c r="H106" s="38" t="n">
        <f aca="false">G106*F106*E106*D106/1000000000</f>
        <v>0.033</v>
      </c>
      <c r="I106" s="43"/>
      <c r="J106" s="41"/>
    </row>
    <row r="107" customFormat="false" ht="20.1" hidden="false" customHeight="true" outlineLevel="0" collapsed="false">
      <c r="A107" s="42"/>
      <c r="B107" s="30"/>
      <c r="C107" s="30" t="n">
        <v>77</v>
      </c>
      <c r="D107" s="30" t="n">
        <v>134</v>
      </c>
      <c r="E107" s="30" t="n">
        <v>2250</v>
      </c>
      <c r="F107" s="30" t="n">
        <v>100</v>
      </c>
      <c r="G107" s="30" t="n">
        <v>15</v>
      </c>
      <c r="H107" s="38" t="n">
        <f aca="false">G107*F107*E107*D107/1000000000</f>
        <v>0.45225</v>
      </c>
      <c r="I107" s="39" t="s">
        <v>66</v>
      </c>
      <c r="J107" s="41"/>
    </row>
    <row r="108" customFormat="false" ht="20.1" hidden="false" customHeight="true" outlineLevel="0" collapsed="false">
      <c r="A108" s="42"/>
      <c r="B108" s="30"/>
      <c r="C108" s="30"/>
      <c r="D108" s="30" t="n">
        <v>6</v>
      </c>
      <c r="E108" s="30" t="n">
        <v>1100</v>
      </c>
      <c r="F108" s="30" t="n">
        <v>100</v>
      </c>
      <c r="G108" s="30" t="n">
        <v>15</v>
      </c>
      <c r="H108" s="38" t="n">
        <f aca="false">G108*F108*E108*D108/1000000000</f>
        <v>0.0099</v>
      </c>
      <c r="I108" s="39"/>
      <c r="J108" s="41"/>
    </row>
    <row r="109" customFormat="false" ht="20.1" hidden="false" customHeight="true" outlineLevel="0" collapsed="false">
      <c r="A109" s="42"/>
      <c r="B109" s="30"/>
      <c r="C109" s="30"/>
      <c r="D109" s="30" t="n">
        <v>134</v>
      </c>
      <c r="E109" s="30" t="n">
        <v>2250</v>
      </c>
      <c r="F109" s="30" t="n">
        <v>100</v>
      </c>
      <c r="G109" s="30" t="n">
        <v>15</v>
      </c>
      <c r="H109" s="38" t="n">
        <f aca="false">G109*F109*E109*D109/1000000000</f>
        <v>0.45225</v>
      </c>
      <c r="I109" s="39" t="s">
        <v>65</v>
      </c>
      <c r="J109" s="41"/>
    </row>
    <row r="110" customFormat="false" ht="20.1" hidden="false" customHeight="true" outlineLevel="0" collapsed="false">
      <c r="A110" s="42"/>
      <c r="B110" s="30"/>
      <c r="C110" s="30"/>
      <c r="D110" s="30" t="n">
        <v>77</v>
      </c>
      <c r="E110" s="30" t="n">
        <v>1100</v>
      </c>
      <c r="F110" s="30" t="n">
        <v>100</v>
      </c>
      <c r="G110" s="30" t="n">
        <v>15</v>
      </c>
      <c r="H110" s="38" t="n">
        <f aca="false">G110*F110*E110*D110/1000000000</f>
        <v>0.12705</v>
      </c>
      <c r="I110" s="39"/>
      <c r="J110" s="41"/>
    </row>
    <row r="111" customFormat="false" ht="20.1" hidden="false" customHeight="true" outlineLevel="0" collapsed="false">
      <c r="A111" s="42" t="n">
        <v>18</v>
      </c>
      <c r="B111" s="30" t="n">
        <v>25948</v>
      </c>
      <c r="C111" s="30" t="n">
        <v>90</v>
      </c>
      <c r="D111" s="30" t="n">
        <v>180</v>
      </c>
      <c r="E111" s="30" t="n">
        <v>2250</v>
      </c>
      <c r="F111" s="30" t="n">
        <v>100</v>
      </c>
      <c r="G111" s="30" t="n">
        <v>15</v>
      </c>
      <c r="H111" s="38" t="n">
        <f aca="false">G111*F111*E111*D111/1000000000</f>
        <v>0.6075</v>
      </c>
      <c r="I111" s="39" t="s">
        <v>66</v>
      </c>
      <c r="J111" s="41"/>
    </row>
    <row r="112" customFormat="false" ht="20.1" hidden="false" customHeight="true" outlineLevel="0" collapsed="false">
      <c r="A112" s="42"/>
      <c r="B112" s="30"/>
      <c r="C112" s="30"/>
      <c r="D112" s="30" t="n">
        <v>90</v>
      </c>
      <c r="E112" s="30" t="n">
        <v>1100</v>
      </c>
      <c r="F112" s="30" t="n">
        <v>100</v>
      </c>
      <c r="G112" s="30" t="n">
        <v>15</v>
      </c>
      <c r="H112" s="38" t="n">
        <f aca="false">G112*F112*E112*D112/1000000000</f>
        <v>0.1485</v>
      </c>
      <c r="I112" s="39"/>
      <c r="J112" s="41"/>
    </row>
    <row r="113" customFormat="false" ht="20.1" hidden="false" customHeight="true" outlineLevel="0" collapsed="false">
      <c r="A113" s="42"/>
      <c r="B113" s="30"/>
      <c r="C113" s="30"/>
      <c r="D113" s="30" t="n">
        <v>180</v>
      </c>
      <c r="E113" s="30" t="n">
        <v>2250</v>
      </c>
      <c r="F113" s="30" t="n">
        <v>100</v>
      </c>
      <c r="G113" s="30" t="n">
        <v>15</v>
      </c>
      <c r="H113" s="38" t="n">
        <f aca="false">G113*F113*E113*D113/1000000000</f>
        <v>0.6075</v>
      </c>
      <c r="I113" s="39" t="s">
        <v>65</v>
      </c>
      <c r="J113" s="41"/>
    </row>
    <row r="114" customFormat="false" ht="20.1" hidden="false" customHeight="true" outlineLevel="0" collapsed="false">
      <c r="A114" s="42"/>
      <c r="B114" s="30"/>
      <c r="C114" s="30"/>
      <c r="D114" s="30" t="n">
        <v>90</v>
      </c>
      <c r="E114" s="30" t="n">
        <v>1100</v>
      </c>
      <c r="F114" s="30" t="n">
        <v>100</v>
      </c>
      <c r="G114" s="30" t="n">
        <v>15</v>
      </c>
      <c r="H114" s="38" t="n">
        <f aca="false">G114*F114*E114*D114/1000000000</f>
        <v>0.1485</v>
      </c>
      <c r="I114" s="39"/>
      <c r="J114" s="41"/>
    </row>
    <row r="115" customFormat="false" ht="20.1" hidden="false" customHeight="true" outlineLevel="0" collapsed="false">
      <c r="A115" s="42" t="n">
        <v>19</v>
      </c>
      <c r="B115" s="30" t="n">
        <v>25948</v>
      </c>
      <c r="C115" s="30" t="n">
        <v>25</v>
      </c>
      <c r="D115" s="30" t="n">
        <v>50</v>
      </c>
      <c r="E115" s="30" t="n">
        <v>2450</v>
      </c>
      <c r="F115" s="30" t="n">
        <v>100</v>
      </c>
      <c r="G115" s="30" t="n">
        <v>15</v>
      </c>
      <c r="H115" s="38" t="n">
        <f aca="false">G115*F115*E115*D115/1000000000</f>
        <v>0.18375</v>
      </c>
      <c r="I115" s="39" t="s">
        <v>66</v>
      </c>
      <c r="J115" s="40" t="s">
        <v>67</v>
      </c>
    </row>
    <row r="116" customFormat="false" ht="20.1" hidden="false" customHeight="true" outlineLevel="0" collapsed="false">
      <c r="A116" s="42"/>
      <c r="B116" s="30"/>
      <c r="C116" s="30"/>
      <c r="D116" s="30" t="n">
        <v>25</v>
      </c>
      <c r="E116" s="30" t="n">
        <v>1300</v>
      </c>
      <c r="F116" s="30" t="n">
        <v>100</v>
      </c>
      <c r="G116" s="30" t="n">
        <v>15</v>
      </c>
      <c r="H116" s="38" t="n">
        <f aca="false">G116*F116*E116*D116/1000000000</f>
        <v>0.04875</v>
      </c>
      <c r="I116" s="39"/>
      <c r="J116" s="40"/>
    </row>
    <row r="117" customFormat="false" ht="20.1" hidden="false" customHeight="true" outlineLevel="0" collapsed="false">
      <c r="A117" s="42"/>
      <c r="B117" s="30"/>
      <c r="C117" s="30"/>
      <c r="D117" s="30" t="n">
        <v>50</v>
      </c>
      <c r="E117" s="30" t="n">
        <v>2450</v>
      </c>
      <c r="F117" s="30" t="n">
        <v>100</v>
      </c>
      <c r="G117" s="30" t="n">
        <v>15</v>
      </c>
      <c r="H117" s="38" t="n">
        <f aca="false">G117*F117*E117*D117/1000000000</f>
        <v>0.18375</v>
      </c>
      <c r="I117" s="39" t="s">
        <v>65</v>
      </c>
      <c r="J117" s="40"/>
    </row>
    <row r="118" customFormat="false" ht="20.1" hidden="false" customHeight="true" outlineLevel="0" collapsed="false">
      <c r="A118" s="42"/>
      <c r="B118" s="30"/>
      <c r="C118" s="30"/>
      <c r="D118" s="30" t="n">
        <v>25</v>
      </c>
      <c r="E118" s="30" t="n">
        <v>1300</v>
      </c>
      <c r="F118" s="30" t="n">
        <v>100</v>
      </c>
      <c r="G118" s="30" t="n">
        <v>15</v>
      </c>
      <c r="H118" s="38" t="n">
        <f aca="false">G118*F118*E118*D118/1000000000</f>
        <v>0.04875</v>
      </c>
      <c r="I118" s="39"/>
      <c r="J118" s="40"/>
    </row>
    <row r="119" customFormat="false" ht="20.1" hidden="false" customHeight="true" outlineLevel="0" collapsed="false">
      <c r="A119" s="42"/>
      <c r="B119" s="30"/>
      <c r="C119" s="30"/>
      <c r="D119" s="30" t="n">
        <v>50</v>
      </c>
      <c r="E119" s="30" t="n">
        <v>2400</v>
      </c>
      <c r="F119" s="30" t="n">
        <v>40</v>
      </c>
      <c r="G119" s="30" t="n">
        <v>14</v>
      </c>
      <c r="H119" s="38" t="n">
        <f aca="false">G119*F119*E119*D119/1000000000</f>
        <v>0.0672</v>
      </c>
      <c r="I119" s="39" t="s">
        <v>68</v>
      </c>
      <c r="J119" s="40" t="s">
        <v>69</v>
      </c>
    </row>
    <row r="120" customFormat="false" ht="20.1" hidden="false" customHeight="true" outlineLevel="0" collapsed="false">
      <c r="A120" s="42" t="n">
        <v>20</v>
      </c>
      <c r="B120" s="30" t="n">
        <v>25948</v>
      </c>
      <c r="C120" s="30" t="n">
        <v>33</v>
      </c>
      <c r="D120" s="30" t="n">
        <v>66</v>
      </c>
      <c r="E120" s="30" t="n">
        <v>2200</v>
      </c>
      <c r="F120" s="30" t="n">
        <v>55</v>
      </c>
      <c r="G120" s="30" t="n">
        <v>45</v>
      </c>
      <c r="H120" s="38" t="n">
        <f aca="false">G120*F120*E120*D120/1000000000</f>
        <v>0.35937</v>
      </c>
      <c r="I120" s="39" t="s">
        <v>70</v>
      </c>
      <c r="J120" s="40" t="s">
        <v>71</v>
      </c>
    </row>
    <row r="121" customFormat="false" ht="20.1" hidden="false" customHeight="true" outlineLevel="0" collapsed="false">
      <c r="A121" s="42"/>
      <c r="B121" s="30"/>
      <c r="C121" s="30"/>
      <c r="D121" s="30" t="n">
        <v>33</v>
      </c>
      <c r="E121" s="30" t="n">
        <v>2200</v>
      </c>
      <c r="F121" s="30" t="n">
        <v>55</v>
      </c>
      <c r="G121" s="30" t="n">
        <v>45</v>
      </c>
      <c r="H121" s="38" t="n">
        <f aca="false">G121*F121*E121*D121/1000000000</f>
        <v>0.179685</v>
      </c>
      <c r="I121" s="39"/>
      <c r="J121" s="40"/>
    </row>
    <row r="122" customFormat="false" ht="20.1" hidden="false" customHeight="true" outlineLevel="0" collapsed="false">
      <c r="A122" s="42"/>
      <c r="B122" s="30"/>
      <c r="C122" s="30"/>
      <c r="D122" s="30" t="n">
        <v>33</v>
      </c>
      <c r="E122" s="30" t="n">
        <v>2200</v>
      </c>
      <c r="F122" s="30" t="n">
        <v>100</v>
      </c>
      <c r="G122" s="30" t="n">
        <v>9</v>
      </c>
      <c r="H122" s="38" t="n">
        <f aca="false">G122*F122*E122*D122/1000000000</f>
        <v>0.06534</v>
      </c>
      <c r="I122" s="39"/>
      <c r="J122" s="40"/>
    </row>
    <row r="123" customFormat="false" ht="20.1" hidden="false" customHeight="true" outlineLevel="0" collapsed="false">
      <c r="A123" s="42"/>
      <c r="B123" s="30"/>
      <c r="C123" s="30"/>
      <c r="D123" s="30" t="n">
        <v>99</v>
      </c>
      <c r="E123" s="30" t="n">
        <v>2200</v>
      </c>
      <c r="F123" s="30" t="n">
        <v>50</v>
      </c>
      <c r="G123" s="30" t="n">
        <v>9</v>
      </c>
      <c r="H123" s="38" t="n">
        <f aca="false">G123*F123*E123*D123/1000000000</f>
        <v>0.09801</v>
      </c>
      <c r="I123" s="39"/>
      <c r="J123" s="40"/>
    </row>
    <row r="124" customFormat="false" ht="20.1" hidden="false" customHeight="true" outlineLevel="0" collapsed="false">
      <c r="A124" s="42" t="n">
        <v>21</v>
      </c>
      <c r="B124" s="30" t="n">
        <v>25948</v>
      </c>
      <c r="C124" s="30"/>
      <c r="D124" s="30" t="n">
        <v>702</v>
      </c>
      <c r="E124" s="30"/>
      <c r="F124" s="30"/>
      <c r="G124" s="30"/>
      <c r="H124" s="38"/>
      <c r="I124" s="39" t="s">
        <v>72</v>
      </c>
      <c r="J124" s="40" t="s">
        <v>73</v>
      </c>
    </row>
    <row r="125" customFormat="false" ht="0.75" hidden="false" customHeight="true" outlineLevel="0" collapsed="false">
      <c r="A125" s="44"/>
      <c r="B125" s="45"/>
      <c r="C125" s="46"/>
      <c r="D125" s="47"/>
      <c r="E125" s="48"/>
      <c r="F125" s="48"/>
      <c r="G125" s="48"/>
      <c r="H125" s="49" t="n">
        <f aca="false">G125*F125*E125*D125/1000000000</f>
        <v>0</v>
      </c>
      <c r="I125" s="50"/>
      <c r="J125" s="51"/>
    </row>
    <row r="126" customFormat="false" ht="18" hidden="false" customHeight="true" outlineLevel="0" collapsed="false">
      <c r="A126" s="52"/>
      <c r="B126" s="53"/>
      <c r="C126" s="54" t="n">
        <f aca="false">SUM(C13:C125)</f>
        <v>383</v>
      </c>
      <c r="D126" s="54" t="n">
        <f aca="false">SUM(D13:D125)</f>
        <v>3817</v>
      </c>
      <c r="E126" s="53"/>
      <c r="F126" s="53"/>
      <c r="G126" s="55" t="s">
        <v>74</v>
      </c>
      <c r="H126" s="56" t="n">
        <f aca="false">SUM(H13:H125)</f>
        <v>27.1776896</v>
      </c>
      <c r="I126" s="57"/>
      <c r="J126" s="58" t="str">
        <f aca="false">ROUNDUP(((H126*420)/1000),1)&amp;" - toneladas"</f>
        <v>11.5 - toneladas</v>
      </c>
    </row>
    <row r="127" customFormat="false" ht="15.95" hidden="false" customHeight="true" outlineLevel="0" collapsed="false">
      <c r="A127" s="59" t="s">
        <v>75</v>
      </c>
      <c r="B127" s="60" t="n">
        <v>39</v>
      </c>
      <c r="C127" s="61" t="s">
        <v>76</v>
      </c>
      <c r="D127" s="62"/>
      <c r="I127" s="63"/>
    </row>
    <row r="128" customFormat="false" ht="15.95" hidden="false" customHeight="true" outlineLevel="0" collapsed="false">
      <c r="A128" s="64" t="s">
        <v>24</v>
      </c>
      <c r="B128" s="65" t="s">
        <v>77</v>
      </c>
      <c r="C128" s="65"/>
      <c r="D128" s="65"/>
      <c r="E128" s="65"/>
      <c r="F128" s="66"/>
      <c r="G128" s="67"/>
      <c r="H128" s="67"/>
      <c r="I128" s="59"/>
    </row>
    <row r="129" customFormat="false" ht="15.95" hidden="false" customHeight="true" outlineLevel="0" collapsed="false">
      <c r="B129" s="68" t="s">
        <v>78</v>
      </c>
      <c r="C129" s="68"/>
      <c r="D129" s="68"/>
      <c r="E129" s="68"/>
      <c r="F129" s="68"/>
    </row>
    <row r="130" customFormat="false" ht="15.95" hidden="false" customHeight="true" outlineLevel="0" collapsed="false"/>
    <row r="131" customFormat="false" ht="15.95" hidden="false" customHeight="true" outlineLevel="0" collapsed="false"/>
  </sheetData>
  <mergeCells count="91">
    <mergeCell ref="A1:J1"/>
    <mergeCell ref="A2:J2"/>
    <mergeCell ref="A3:J3"/>
    <mergeCell ref="A5:J5"/>
    <mergeCell ref="B7:E7"/>
    <mergeCell ref="B8:G8"/>
    <mergeCell ref="B9:E9"/>
    <mergeCell ref="B10:E10"/>
    <mergeCell ref="B11:D11"/>
    <mergeCell ref="G11:I11"/>
    <mergeCell ref="A13:A16"/>
    <mergeCell ref="B13:B16"/>
    <mergeCell ref="J13:J17"/>
    <mergeCell ref="A17:A18"/>
    <mergeCell ref="B17:B18"/>
    <mergeCell ref="J18:J21"/>
    <mergeCell ref="A19:A20"/>
    <mergeCell ref="B19:B20"/>
    <mergeCell ref="A21:A22"/>
    <mergeCell ref="B21:B22"/>
    <mergeCell ref="J22:J27"/>
    <mergeCell ref="A24:A25"/>
    <mergeCell ref="B24:B25"/>
    <mergeCell ref="A28:A45"/>
    <mergeCell ref="B28:B45"/>
    <mergeCell ref="J28:J79"/>
    <mergeCell ref="A46:A65"/>
    <mergeCell ref="B46:B65"/>
    <mergeCell ref="A66:A79"/>
    <mergeCell ref="B66:B79"/>
    <mergeCell ref="A80:A81"/>
    <mergeCell ref="B80:B81"/>
    <mergeCell ref="A82:A83"/>
    <mergeCell ref="B82:B83"/>
    <mergeCell ref="A84:A91"/>
    <mergeCell ref="B84:B91"/>
    <mergeCell ref="C84:C85"/>
    <mergeCell ref="I84:I85"/>
    <mergeCell ref="J84:J85"/>
    <mergeCell ref="C86:C87"/>
    <mergeCell ref="I86:I87"/>
    <mergeCell ref="J86:J87"/>
    <mergeCell ref="C88:C89"/>
    <mergeCell ref="I88:I89"/>
    <mergeCell ref="J88:J89"/>
    <mergeCell ref="C90:C91"/>
    <mergeCell ref="I90:I91"/>
    <mergeCell ref="J90:J91"/>
    <mergeCell ref="A92:A98"/>
    <mergeCell ref="B92:B98"/>
    <mergeCell ref="C92:C93"/>
    <mergeCell ref="I92:I93"/>
    <mergeCell ref="J92:J93"/>
    <mergeCell ref="C94:C95"/>
    <mergeCell ref="I94:I95"/>
    <mergeCell ref="J94:J95"/>
    <mergeCell ref="C96:C97"/>
    <mergeCell ref="I96:I97"/>
    <mergeCell ref="J96:J97"/>
    <mergeCell ref="A99:A102"/>
    <mergeCell ref="B99:B102"/>
    <mergeCell ref="C99:C102"/>
    <mergeCell ref="I99:I100"/>
    <mergeCell ref="J99:J114"/>
    <mergeCell ref="I101:I102"/>
    <mergeCell ref="A103:A110"/>
    <mergeCell ref="B103:B110"/>
    <mergeCell ref="C103:C106"/>
    <mergeCell ref="I103:I104"/>
    <mergeCell ref="I105:I106"/>
    <mergeCell ref="C107:C110"/>
    <mergeCell ref="I107:I108"/>
    <mergeCell ref="I109:I110"/>
    <mergeCell ref="A111:A114"/>
    <mergeCell ref="B111:B114"/>
    <mergeCell ref="C111:C114"/>
    <mergeCell ref="I111:I112"/>
    <mergeCell ref="I113:I114"/>
    <mergeCell ref="A115:A119"/>
    <mergeCell ref="B115:B119"/>
    <mergeCell ref="C115:C118"/>
    <mergeCell ref="I115:I116"/>
    <mergeCell ref="J115:J118"/>
    <mergeCell ref="I117:I118"/>
    <mergeCell ref="A120:A123"/>
    <mergeCell ref="B120:B123"/>
    <mergeCell ref="C120:C123"/>
    <mergeCell ref="I120:I123"/>
    <mergeCell ref="J120:J123"/>
    <mergeCell ref="B128:E128"/>
    <mergeCell ref="G128:H128"/>
  </mergeCells>
  <printOptions headings="false" gridLines="false" gridLinesSet="true" horizontalCentered="true" verticalCentered="false"/>
  <pageMargins left="0.315277777777778" right="0.315277777777778" top="0.551388888888889" bottom="0.551388888888889" header="0.511811023622047" footer="0"/>
  <pageSetup paperSize="9" scale="100" fitToWidth="1" fitToHeight="10" pageOrder="downThenOver" orientation="portrait" blackAndWhite="false" draft="false" cellComments="none" horizontalDpi="300" verticalDpi="300" copies="1"/>
  <headerFooter differentFirst="false" differentOddEven="false">
    <oddHeader/>
    <oddFooter>&amp;R&amp;8&amp;D&amp;T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2010-07-14T16:00:41Z</dcterms:created>
  <dc:creator>Luan</dc:creator>
  <dc:description/>
  <dc:language>en-US</dc:language>
  <cp:lastModifiedBy>Embalagem</cp:lastModifiedBy>
  <cp:lastPrinted>2026-07-24T17:46:02Z</cp:lastPrinted>
  <dcterms:modified xsi:type="dcterms:W3CDTF">2026-09-01T12:23:01Z</dcterms:modified>
  <cp:revision>0</cp:revision>
  <dc:subject/>
  <dc:title/>
</cp:coreProperties>
</file>